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edIn Lead Tracker" sheetId="1" state="visible" r:id="rId3"/>
    <sheet name="Pipeline Dashboard" sheetId="2" state="visible" r:id="rId4"/>
    <sheet name="Cowork Activity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<sst xmlns="http://schemas.openxmlformats.org/spreadsheetml/2006/main" count="135" uniqueCount="102">
  <si>
    <t xml:space="preserve">ControlWeave — LinkedIn Lead Tracker</t>
  </si>
  <si>
    <t xml:space="preserve">Track every connection, conversation, and opportunity | Updated by Cowork Automation</t>
  </si>
  <si>
    <t xml:space="preserve">Lead ID</t>
  </si>
  <si>
    <t xml:space="preserve">Full Name</t>
  </si>
  <si>
    <t xml:space="preserve">Title</t>
  </si>
  <si>
    <t xml:space="preserve">Company</t>
  </si>
  <si>
    <t xml:space="preserve">Industry</t>
  </si>
  <si>
    <t xml:space="preserve">Connection Date</t>
  </si>
  <si>
    <t xml:space="preserve">Source</t>
  </si>
  <si>
    <t xml:space="preserve">Pipeline Stage</t>
  </si>
  <si>
    <t xml:space="preserve">Last Contact Date</t>
  </si>
  <si>
    <t xml:space="preserve">Last Action Taken</t>
  </si>
  <si>
    <t xml:space="preserve">Next Step</t>
  </si>
  <si>
    <t xml:space="preserve">Notes</t>
  </si>
  <si>
    <t xml:space="preserve">Cowork Handled?</t>
  </si>
  <si>
    <t xml:space="preserve">Flag for Review?</t>
  </si>
  <si>
    <t xml:space="preserve">CW-001</t>
  </si>
  <si>
    <t xml:space="preserve">Alex Rivera</t>
  </si>
  <si>
    <t xml:space="preserve">CISO</t>
  </si>
  <si>
    <t xml:space="preserve">Meridian Defense LLC</t>
  </si>
  <si>
    <t xml:space="preserve">Federal/DoD</t>
  </si>
  <si>
    <t xml:space="preserve">2026-02-01</t>
  </si>
  <si>
    <t xml:space="preserve">LinkedIn Search</t>
  </si>
  <si>
    <t xml:space="preserve">Stage 2 – Conversation Started</t>
  </si>
  <si>
    <t xml:space="preserve">2026-02-10</t>
  </si>
  <si>
    <t xml:space="preserve">Sent intro message about NIST AI RMF gap assessments</t>
  </si>
  <si>
    <t xml:space="preserve">Follow up with demo link</t>
  </si>
  <si>
    <t xml:space="preserve">Interested in EU AI Act Article 17</t>
  </si>
  <si>
    <t xml:space="preserve">Yes</t>
  </si>
  <si>
    <t xml:space="preserve">No</t>
  </si>
  <si>
    <t xml:space="preserve">CW-002</t>
  </si>
  <si>
    <t xml:space="preserve">Dana Osei</t>
  </si>
  <si>
    <t xml:space="preserve">Compliance Officer</t>
  </si>
  <si>
    <t xml:space="preserve">Aegis Systems Inc.</t>
  </si>
  <si>
    <t xml:space="preserve">DoD Contractor</t>
  </si>
  <si>
    <t xml:space="preserve">2026-02-05</t>
  </si>
  <si>
    <t xml:space="preserve">Post Engagement</t>
  </si>
  <si>
    <t xml:space="preserve">Stage 3 – Discovery Call Scheduled</t>
  </si>
  <si>
    <t xml:space="preserve">2026-02-14</t>
  </si>
  <si>
    <t xml:space="preserve">Scheduled 20-min call for Feb 20</t>
  </si>
  <si>
    <t xml:space="preserve">Send pre-call agenda</t>
  </si>
  <si>
    <t xml:space="preserve">Runs CMMC + AI governance program</t>
  </si>
  <si>
    <t xml:space="preserve">CW-003</t>
  </si>
  <si>
    <t xml:space="preserve">Morgan Haynes</t>
  </si>
  <si>
    <t xml:space="preserve">IT Director</t>
  </si>
  <si>
    <t xml:space="preserve">ClearPath Gov Solutions</t>
  </si>
  <si>
    <t xml:space="preserve">Federal IT</t>
  </si>
  <si>
    <t xml:space="preserve">2026-02-08</t>
  </si>
  <si>
    <t xml:space="preserve">Connection Request</t>
  </si>
  <si>
    <t xml:space="preserve">Stage 1 – Connected</t>
  </si>
  <si>
    <t xml:space="preserve">Accepted connection, no reply yet</t>
  </si>
  <si>
    <t xml:space="preserve">Send intro message</t>
  </si>
  <si>
    <t xml:space="preserve">CW-004</t>
  </si>
  <si>
    <t xml:space="preserve">Priya Nair</t>
  </si>
  <si>
    <t xml:space="preserve">GRC Analyst</t>
  </si>
  <si>
    <t xml:space="preserve">Summit Technologies</t>
  </si>
  <si>
    <t xml:space="preserve">Regulated Mid-Market</t>
  </si>
  <si>
    <t xml:space="preserve">Stage 4 – Demo Sent</t>
  </si>
  <si>
    <t xml:space="preserve">2026-02-18</t>
  </si>
  <si>
    <t xml:space="preserve">Sent demo recording link</t>
  </si>
  <si>
    <t xml:space="preserve">Follow up on demo feedback</t>
  </si>
  <si>
    <t xml:space="preserve">Asked about pricing</t>
  </si>
  <si>
    <t xml:space="preserve">ControlWeave — Pipeline Dashboard</t>
  </si>
  <si>
    <t xml:space="preserve">Live summary of lead pipeline stages — auto-counts from Lead Tracker tab</t>
  </si>
  <si>
    <t xml:space="preserve">Color Code</t>
  </si>
  <si>
    <t xml:space="preserve">Lead Count</t>
  </si>
  <si>
    <t xml:space="preserve">% of Total</t>
  </si>
  <si>
    <t xml:space="preserve">●</t>
  </si>
  <si>
    <t xml:space="preserve">Stage 5 – Proposal/Closed</t>
  </si>
  <si>
    <t xml:space="preserve">TOTAL</t>
  </si>
  <si>
    <t xml:space="preserve">⚠️  Leads Flagged for Review</t>
  </si>
  <si>
    <t xml:space="preserve">leads require your attention — check 'Flag for Review?' column in Lead Tracker</t>
  </si>
  <si>
    <t xml:space="preserve">ControlWeave — Cowork Activity Log</t>
  </si>
  <si>
    <t xml:space="preserve">Audit trail of all automated actions taken by Cowork on behalf of ControlWeave</t>
  </si>
  <si>
    <t xml:space="preserve">Date</t>
  </si>
  <si>
    <t xml:space="preserve">Platform</t>
  </si>
  <si>
    <t xml:space="preserve">Action Taken</t>
  </si>
  <si>
    <t xml:space="preserve">Target / Recipient</t>
  </si>
  <si>
    <t xml:space="preserve">Outcome / Status</t>
  </si>
  <si>
    <t xml:space="preserve">Escalated?</t>
  </si>
  <si>
    <t xml:space="preserve">2026-02-20</t>
  </si>
  <si>
    <t xml:space="preserve">LinkedIn</t>
  </si>
  <si>
    <t xml:space="preserve">Sent intro message to new connection</t>
  </si>
  <si>
    <t xml:space="preserve">Morgan Haynes – IT Director</t>
  </si>
  <si>
    <t xml:space="preserve">Message delivered, awaiting reply</t>
  </si>
  <si>
    <t xml:space="preserve">Gmail</t>
  </si>
  <si>
    <t xml:space="preserve">Responded to inbound sales inquiry</t>
  </si>
  <si>
    <t xml:space="preserve">contact@prospectco.com</t>
  </si>
  <si>
    <t xml:space="preserve">Offered 20-min discovery call, reply pending</t>
  </si>
  <si>
    <t xml:space="preserve">Published daily post on EU AI Act Article 17</t>
  </si>
  <si>
    <t xml:space="preserve">Public post</t>
  </si>
  <si>
    <t xml:space="preserve">Posted successfully, 12 impressions</t>
  </si>
  <si>
    <t xml:space="preserve">2026-02-19</t>
  </si>
  <si>
    <t xml:space="preserve">Archived 8 newsletters</t>
  </si>
  <si>
    <t xml:space="preserve">Various senders</t>
  </si>
  <si>
    <t xml:space="preserve">Archived, inbox clean</t>
  </si>
  <si>
    <t xml:space="preserve">GitHub</t>
  </si>
  <si>
    <t xml:space="preserve">Drafted commit message for schema update</t>
  </si>
  <si>
    <t xml:space="preserve">ControlWeave repo – main</t>
  </si>
  <si>
    <t xml:space="preserve">Commit staged, awaiting push</t>
  </si>
  <si>
    <t xml:space="preserve">Updated lead stage: Priya Nair → Stage 4</t>
  </si>
  <si>
    <t xml:space="preserve">Updated in tracker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</si>
</sst>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4"/>
      <color rgb="FF888888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4"/>
      <color rgb="FFD6E4F0"/>
      <name val="Arial"/>
      <family val="0"/>
      <charset val="1"/>
    </font>
    <font>
      <sz val="14"/>
      <color rgb="FFE2EFDA"/>
      <name val="Arial"/>
      <family val="0"/>
      <charset val="1"/>
    </font>
    <font>
      <sz val="14"/>
      <color rgb="FFFFF2CC"/>
      <name val="Arial"/>
      <family val="0"/>
      <charset val="1"/>
    </font>
    <font>
      <sz val="14"/>
      <color rgb="FFFCE4D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C55A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C55A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2F2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36"/>
    <col collapsed="false" customWidth="true" hidden="false" outlineLevel="0" max="11" min="11" style="0" width="30"/>
    <col collapsed="false" customWidth="true" hidden="false" outlineLevel="0" max="12" min="12" style="0" width="36"/>
    <col collapsed="false" customWidth="true" hidden="false" outlineLevel="0" max="14" min="13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39.75" hidden="false" customHeight="tru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</row>
    <row r="5" customFormat="false" ht="39.75" hidden="false" customHeight="true" outlineLevel="0" collapsed="false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7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28</v>
      </c>
      <c r="N5" s="6" t="s">
        <v>29</v>
      </c>
    </row>
    <row r="6" customFormat="false" ht="39.75" hidden="false" customHeight="true" outlineLevel="0" collapsed="false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8" t="s">
        <v>49</v>
      </c>
      <c r="I6" s="4" t="s">
        <v>47</v>
      </c>
      <c r="J6" s="4" t="s">
        <v>50</v>
      </c>
      <c r="K6" s="4" t="s">
        <v>51</v>
      </c>
      <c r="L6" s="4"/>
      <c r="M6" s="4" t="s">
        <v>28</v>
      </c>
      <c r="N6" s="4" t="s">
        <v>29</v>
      </c>
    </row>
    <row r="7" customFormat="false" ht="39.75" hidden="false" customHeight="true" outlineLevel="0" collapsed="false">
      <c r="A7" s="6" t="s">
        <v>52</v>
      </c>
      <c r="B7" s="6" t="s">
        <v>53</v>
      </c>
      <c r="C7" s="6" t="s">
        <v>54</v>
      </c>
      <c r="D7" s="6" t="s">
        <v>55</v>
      </c>
      <c r="E7" s="6" t="s">
        <v>56</v>
      </c>
      <c r="F7" s="6" t="s">
        <v>24</v>
      </c>
      <c r="G7" s="6" t="s">
        <v>36</v>
      </c>
      <c r="H7" s="9" t="s">
        <v>57</v>
      </c>
      <c r="I7" s="6" t="s">
        <v>58</v>
      </c>
      <c r="J7" s="6" t="s">
        <v>59</v>
      </c>
      <c r="K7" s="6" t="s">
        <v>60</v>
      </c>
      <c r="L7" s="6" t="s">
        <v>61</v>
      </c>
      <c r="M7" s="6" t="s">
        <v>28</v>
      </c>
      <c r="N7" s="6" t="s">
        <v>28</v>
      </c>
    </row>
    <row r="8" customFormat="false" ht="30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30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30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30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30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30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30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30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30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30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30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30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30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30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30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30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30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30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30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30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63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9</v>
      </c>
      <c r="B3" s="3" t="s">
        <v>64</v>
      </c>
      <c r="C3" s="3" t="s">
        <v>65</v>
      </c>
      <c r="D3" s="3" t="s">
        <v>66</v>
      </c>
      <c r="E3" s="3" t="s">
        <v>13</v>
      </c>
    </row>
    <row r="4" customFormat="false" ht="27.75" hidden="false" customHeight="true" outlineLevel="0" collapsed="false">
      <c r="A4" s="10" t="s">
        <v>49</v>
      </c>
      <c r="B4" s="11" t="s">
        <v>67</v>
      </c>
      <c r="C4" s="12" t="n">
        <f aca="false">COUNTIF('LinkedIn Lead Tracker'!H:H,"Stage 1*")</f>
        <v>1</v>
      </c>
      <c r="D4" s="13" t="n">
        <f aca="false">C4/SUM(C4:C8)</f>
        <v>0.25</v>
      </c>
      <c r="E4" s="14"/>
    </row>
    <row r="5" customFormat="false" ht="27.75" hidden="false" customHeight="true" outlineLevel="0" collapsed="false">
      <c r="A5" s="15" t="s">
        <v>23</v>
      </c>
      <c r="B5" s="16" t="s">
        <v>67</v>
      </c>
      <c r="C5" s="12" t="n">
        <f aca="false">COUNTIF('LinkedIn Lead Tracker'!H:H,"Stage 2*")</f>
        <v>1</v>
      </c>
      <c r="D5" s="13" t="n">
        <f aca="false">C5/SUM(C4:C8)</f>
        <v>0.25</v>
      </c>
      <c r="E5" s="14"/>
    </row>
    <row r="6" customFormat="false" ht="27.75" hidden="false" customHeight="true" outlineLevel="0" collapsed="false">
      <c r="A6" s="17" t="s">
        <v>37</v>
      </c>
      <c r="B6" s="18" t="s">
        <v>67</v>
      </c>
      <c r="C6" s="12" t="n">
        <f aca="false">COUNTIF('LinkedIn Lead Tracker'!H:H,"Stage 3*")</f>
        <v>1</v>
      </c>
      <c r="D6" s="13" t="n">
        <f aca="false">C6/SUM(C4:C8)</f>
        <v>0.25</v>
      </c>
      <c r="E6" s="14"/>
    </row>
    <row r="7" customFormat="false" ht="27.75" hidden="false" customHeight="true" outlineLevel="0" collapsed="false">
      <c r="A7" s="19" t="s">
        <v>57</v>
      </c>
      <c r="B7" s="20" t="s">
        <v>67</v>
      </c>
      <c r="C7" s="12" t="n">
        <f aca="false">COUNTIF('LinkedIn Lead Tracker'!H:H,"Stage 4*")</f>
        <v>1</v>
      </c>
      <c r="D7" s="13" t="n">
        <f aca="false">C7/SUM(C4:C8)</f>
        <v>0.25</v>
      </c>
      <c r="E7" s="14"/>
    </row>
    <row r="8" customFormat="false" ht="27.75" hidden="false" customHeight="true" outlineLevel="0" collapsed="false">
      <c r="A8" s="21" t="s">
        <v>68</v>
      </c>
      <c r="B8" s="22" t="s">
        <v>67</v>
      </c>
      <c r="C8" s="12" t="n">
        <f aca="false">COUNTIF('LinkedIn Lead Tracker'!H:H,"Stage 5*")</f>
        <v>0</v>
      </c>
      <c r="D8" s="13" t="n">
        <f aca="false">C8/SUM(C4:C8)</f>
        <v>0</v>
      </c>
      <c r="E8" s="14"/>
    </row>
    <row r="9" customFormat="false" ht="27.75" hidden="false" customHeight="true" outlineLevel="0" collapsed="false">
      <c r="A9" s="23" t="s">
        <v>69</v>
      </c>
      <c r="C9" s="24" t="n">
        <f aca="false">SUM(C4:C8)</f>
        <v>4</v>
      </c>
    </row>
    <row r="11" customFormat="false" ht="24" hidden="false" customHeight="true" outlineLevel="0" collapsed="false">
      <c r="A11" s="25" t="s">
        <v>70</v>
      </c>
      <c r="B11" s="25"/>
      <c r="C11" s="25"/>
      <c r="D11" s="25"/>
      <c r="E11" s="25"/>
    </row>
    <row r="12" customFormat="false" ht="27.75" hidden="false" customHeight="true" outlineLevel="0" collapsed="false">
      <c r="A12" s="26" t="n">
        <f aca="false">COUNTIF('LinkedIn Lead Tracker'!N:N,"Yes")</f>
        <v>1</v>
      </c>
      <c r="B12" s="27" t="s">
        <v>71</v>
      </c>
      <c r="C12" s="27"/>
      <c r="D12" s="27"/>
      <c r="E12" s="27"/>
    </row>
  </sheetData>
  <mergeCells count="4">
    <mergeCell ref="A1:F1"/>
    <mergeCell ref="A2:F2"/>
    <mergeCell ref="A11:E1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73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</row>
    <row r="4" customFormat="false" ht="36" hidden="false" customHeight="true" outlineLevel="0" collapsed="false">
      <c r="A4" s="6" t="s">
        <v>80</v>
      </c>
      <c r="B4" s="6" t="s">
        <v>81</v>
      </c>
      <c r="C4" s="6" t="s">
        <v>82</v>
      </c>
      <c r="D4" s="6" t="s">
        <v>83</v>
      </c>
      <c r="E4" s="6" t="s">
        <v>84</v>
      </c>
      <c r="F4" s="6" t="s">
        <v>29</v>
      </c>
    </row>
    <row r="5" customFormat="false" ht="36" hidden="false" customHeight="true" outlineLevel="0" collapsed="false">
      <c r="A5" s="4" t="s">
        <v>80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29</v>
      </c>
    </row>
    <row r="6" customFormat="false" ht="36" hidden="false" customHeight="true" outlineLevel="0" collapsed="false">
      <c r="A6" s="6" t="s">
        <v>80</v>
      </c>
      <c r="B6" s="6" t="s">
        <v>81</v>
      </c>
      <c r="C6" s="6" t="s">
        <v>89</v>
      </c>
      <c r="D6" s="6" t="s">
        <v>90</v>
      </c>
      <c r="E6" s="6" t="s">
        <v>91</v>
      </c>
      <c r="F6" s="6" t="s">
        <v>29</v>
      </c>
    </row>
    <row r="7" customFormat="false" ht="36" hidden="false" customHeight="true" outlineLevel="0" collapsed="false">
      <c r="A7" s="4" t="s">
        <v>92</v>
      </c>
      <c r="B7" s="4" t="s">
        <v>85</v>
      </c>
      <c r="C7" s="4" t="s">
        <v>93</v>
      </c>
      <c r="D7" s="4" t="s">
        <v>94</v>
      </c>
      <c r="E7" s="4" t="s">
        <v>95</v>
      </c>
      <c r="F7" s="4" t="s">
        <v>29</v>
      </c>
    </row>
    <row r="8" customFormat="false" ht="36" hidden="false" customHeight="true" outlineLevel="0" collapsed="false">
      <c r="A8" s="6" t="s">
        <v>92</v>
      </c>
      <c r="B8" s="6" t="s">
        <v>96</v>
      </c>
      <c r="C8" s="6" t="s">
        <v>97</v>
      </c>
      <c r="D8" s="6" t="s">
        <v>98</v>
      </c>
      <c r="E8" s="6" t="s">
        <v>99</v>
      </c>
      <c r="F8" s="6" t="s">
        <v>29</v>
      </c>
    </row>
    <row r="9" customFormat="false" ht="36" hidden="false" customHeight="true" outlineLevel="0" collapsed="false">
      <c r="A9" s="4" t="s">
        <v>58</v>
      </c>
      <c r="B9" s="4" t="s">
        <v>81</v>
      </c>
      <c r="C9" s="4" t="s">
        <v>100</v>
      </c>
      <c r="D9" s="4" t="s">
        <v>52</v>
      </c>
      <c r="E9" s="4" t="s">
        <v>101</v>
      </c>
      <c r="F9" s="28" t="s">
        <v>28</v>
      </c>
    </row>
    <row r="10" customFormat="false" ht="30" hidden="false" customHeight="true" outlineLevel="0" collapsed="false">
      <c r="A10" s="6"/>
      <c r="B10" s="6"/>
      <c r="C10" s="6"/>
      <c r="D10" s="6"/>
      <c r="E10" s="6"/>
      <c r="F10" s="6"/>
    </row>
    <row r="11" customFormat="false" ht="30" hidden="false" customHeight="true" outlineLevel="0" collapsed="false">
      <c r="A11" s="4"/>
      <c r="B11" s="4"/>
      <c r="C11" s="4"/>
      <c r="D11" s="4"/>
      <c r="E11" s="4"/>
      <c r="F11" s="4"/>
    </row>
    <row r="12" customFormat="false" ht="30" hidden="false" customHeight="true" outlineLevel="0" collapsed="false">
      <c r="A12" s="6"/>
      <c r="B12" s="6"/>
      <c r="C12" s="6"/>
      <c r="D12" s="6"/>
      <c r="E12" s="6"/>
      <c r="F12" s="6"/>
    </row>
    <row r="13" customFormat="false" ht="30" hidden="false" customHeight="true" outlineLevel="0" collapsed="false">
      <c r="A13" s="4"/>
      <c r="B13" s="4"/>
      <c r="C13" s="4"/>
      <c r="D13" s="4"/>
      <c r="E13" s="4"/>
      <c r="F13" s="4"/>
    </row>
    <row r="14" customFormat="false" ht="30" hidden="false" customHeight="true" outlineLevel="0" collapsed="false">
      <c r="A14" s="6"/>
      <c r="B14" s="6"/>
      <c r="C14" s="6"/>
      <c r="D14" s="6"/>
      <c r="E14" s="6"/>
      <c r="F14" s="6"/>
    </row>
    <row r="15" customFormat="false" ht="30" hidden="false" customHeight="true" outlineLevel="0" collapsed="false">
      <c r="A15" s="4"/>
      <c r="B15" s="4"/>
      <c r="C15" s="4"/>
      <c r="D15" s="4"/>
      <c r="E15" s="4"/>
      <c r="F15" s="4"/>
    </row>
    <row r="16" customFormat="false" ht="30" hidden="false" customHeight="true" outlineLevel="0" collapsed="false">
      <c r="A16" s="6"/>
      <c r="B16" s="6"/>
      <c r="C16" s="6"/>
      <c r="D16" s="6"/>
      <c r="E16" s="6"/>
      <c r="F16" s="6"/>
    </row>
    <row r="17" customFormat="false" ht="30" hidden="false" customHeight="true" outlineLevel="0" collapsed="false">
      <c r="A17" s="4"/>
      <c r="B17" s="4"/>
      <c r="C17" s="4"/>
      <c r="D17" s="4"/>
      <c r="E17" s="4"/>
      <c r="F17" s="4"/>
    </row>
    <row r="18" customFormat="false" ht="30" hidden="false" customHeight="true" outlineLevel="0" collapsed="false">
      <c r="A18" s="6"/>
      <c r="B18" s="6"/>
      <c r="C18" s="6"/>
      <c r="D18" s="6"/>
      <c r="E18" s="6"/>
      <c r="F18" s="6"/>
    </row>
    <row r="19" customFormat="false" ht="30" hidden="false" customHeight="true" outlineLevel="0" collapsed="false">
      <c r="A19" s="4"/>
      <c r="B19" s="4"/>
      <c r="C19" s="4"/>
      <c r="D19" s="4"/>
      <c r="E19" s="4"/>
      <c r="F19" s="4"/>
    </row>
    <row r="20" customFormat="false" ht="30" hidden="false" customHeight="true" outlineLevel="0" collapsed="false">
      <c r="A20" s="6"/>
      <c r="B20" s="6"/>
      <c r="C20" s="6"/>
      <c r="D20" s="6"/>
      <c r="E20" s="6"/>
      <c r="F20" s="6"/>
    </row>
    <row r="21" customFormat="false" ht="30" hidden="false" customHeight="true" outlineLevel="0" collapsed="false">
      <c r="A21" s="4"/>
      <c r="B21" s="4"/>
      <c r="C21" s="4"/>
      <c r="D21" s="4"/>
      <c r="E21" s="4"/>
      <c r="F21" s="4"/>
    </row>
    <row r="22" customFormat="false" ht="30" hidden="false" customHeight="true" outlineLevel="0" collapsed="false">
      <c r="A22" s="6"/>
      <c r="B22" s="6"/>
      <c r="C22" s="6"/>
      <c r="D22" s="6"/>
      <c r="E22" s="6"/>
      <c r="F22" s="6"/>
    </row>
    <row r="23" customFormat="false" ht="30" hidden="false" customHeight="true" outlineLevel="0" collapsed="false">
      <c r="A23" s="4"/>
      <c r="B23" s="4"/>
      <c r="C23" s="4"/>
      <c r="D23" s="4"/>
      <c r="E23" s="4"/>
      <c r="F23" s="4"/>
    </row>
    <row r="24" customFormat="false" ht="30" hidden="false" customHeight="true" outlineLevel="0" collapsed="false">
      <c r="A24" s="6"/>
      <c r="B24" s="6"/>
      <c r="C24" s="6"/>
      <c r="D24" s="6"/>
      <c r="E24" s="6"/>
      <c r="F24" s="6"/>
    </row>
    <row r="25" customFormat="false" ht="30" hidden="false" customHeight="true" outlineLevel="0" collapsed="false">
      <c r="A25" s="4"/>
      <c r="B25" s="4"/>
      <c r="C25" s="4"/>
      <c r="D25" s="4"/>
      <c r="E25" s="4"/>
      <c r="F25" s="4"/>
    </row>
    <row r="26" customFormat="false" ht="30" hidden="false" customHeight="true" outlineLevel="0" collapsed="false">
      <c r="A26" s="6"/>
      <c r="B26" s="6"/>
      <c r="C26" s="6"/>
      <c r="D26" s="6"/>
      <c r="E26" s="6"/>
      <c r="F26" s="6"/>
    </row>
    <row r="27" customFormat="false" ht="30" hidden="false" customHeight="true" outlineLevel="0" collapsed="false">
      <c r="A27" s="4"/>
      <c r="B27" s="4"/>
      <c r="C27" s="4"/>
      <c r="D27" s="4"/>
      <c r="E27" s="4"/>
      <c r="F27" s="4"/>
    </row>
    <row r="28" customFormat="false" ht="30" hidden="false" customHeight="true" outlineLevel="0" collapsed="false">
      <c r="A28" s="6"/>
      <c r="B28" s="6"/>
      <c r="C28" s="6"/>
      <c r="D28" s="6"/>
      <c r="E28" s="6"/>
      <c r="F28" s="6"/>
    </row>
    <row r="29" customFormat="false" ht="30" hidden="false" customHeight="true" outlineLevel="0" collapsed="false">
      <c r="A29" s="4"/>
      <c r="B29" s="4"/>
      <c r="C29" s="4"/>
      <c r="D29" s="4"/>
      <c r="E29" s="4"/>
      <c r="F29" s="4"/>
    </row>
    <row r="30" customFormat="false" ht="30" hidden="false" customHeight="true" outlineLevel="0" collapsed="false">
      <c r="A30" s="6"/>
      <c r="B30" s="6"/>
      <c r="C30" s="6"/>
      <c r="D30" s="6"/>
      <c r="E30" s="6"/>
      <c r="F30" s="6"/>
    </row>
    <row r="31" customFormat="false" ht="30" hidden="false" customHeight="true" outlineLevel="0" collapsed="false">
      <c r="A31" s="4"/>
      <c r="B31" s="4"/>
      <c r="C31" s="4"/>
      <c r="D31" s="4"/>
      <c r="E31" s="4"/>
      <c r="F31" s="4"/>
    </row>
    <row r="32" customFormat="false" ht="30" hidden="false" customHeight="true" outlineLevel="0" collapsed="false">
      <c r="A32" s="6"/>
      <c r="B32" s="6"/>
      <c r="C32" s="6"/>
      <c r="D32" s="6"/>
      <c r="E32" s="6"/>
      <c r="F32" s="6"/>
    </row>
    <row r="33" customFormat="false" ht="30" hidden="false" customHeight="true" outlineLevel="0" collapsed="false">
      <c r="A33" s="4"/>
      <c r="B33" s="4"/>
      <c r="C33" s="4"/>
      <c r="D33" s="4"/>
      <c r="E33" s="4"/>
      <c r="F33" s="4"/>
    </row>
    <row r="34" customFormat="false" ht="30" hidden="false" customHeight="true" outlineLevel="0" collapsed="false">
      <c r="A34" s="6"/>
      <c r="B34" s="6"/>
      <c r="C34" s="6"/>
      <c r="D34" s="6"/>
      <c r="E34" s="6"/>
      <c r="F34" s="6"/>
    </row>
    <row r="35" customFormat="false" ht="30" hidden="false" customHeight="true" outlineLevel="0" collapsed="false">
      <c r="A35" s="4"/>
      <c r="B35" s="4"/>
      <c r="C35" s="4"/>
      <c r="D35" s="4"/>
      <c r="E35" s="4"/>
      <c r="F35" s="4"/>
    </row>
    <row r="36" customFormat="false" ht="30" hidden="false" customHeight="true" outlineLevel="0" collapsed="false">
      <c r="A36" s="6"/>
      <c r="B36" s="6"/>
      <c r="C36" s="6"/>
      <c r="D36" s="6"/>
      <c r="E36" s="6"/>
      <c r="F36" s="6"/>
    </row>
    <row r="37" customFormat="false" ht="30" hidden="false" customHeight="true" outlineLevel="0" collapsed="false">
      <c r="A37" s="4"/>
      <c r="B37" s="4"/>
      <c r="C37" s="4"/>
      <c r="D37" s="4"/>
      <c r="E37" s="4"/>
      <c r="F37" s="4"/>
    </row>
    <row r="38" customFormat="false" ht="30" hidden="false" customHeight="true" outlineLevel="0" collapsed="false">
      <c r="A38" s="6"/>
      <c r="B38" s="6"/>
      <c r="C38" s="6"/>
      <c r="D38" s="6"/>
      <c r="E38" s="6"/>
      <c r="F38" s="6"/>
    </row>
    <row r="39" customFormat="false" ht="30" hidden="false" customHeight="true" outlineLevel="0" collapsed="false">
      <c r="A39" s="4"/>
      <c r="B39" s="4"/>
      <c r="C39" s="4"/>
      <c r="D39" s="4"/>
      <c r="E39" s="4"/>
      <c r="F39" s="4"/>
    </row>
    <row r="40" customFormat="false" ht="30" hidden="false" customHeight="true" outlineLevel="0" collapsed="false">
      <c r="A40" s="6"/>
      <c r="B40" s="6"/>
      <c r="C40" s="6"/>
      <c r="D40" s="6"/>
      <c r="E40" s="6"/>
      <c r="F40" s="6"/>
    </row>
    <row r="41" customFormat="false" ht="30" hidden="false" customHeight="true" outlineLevel="0" collapsed="false">
      <c r="A41" s="4"/>
      <c r="B41" s="4"/>
      <c r="C41" s="4"/>
      <c r="D41" s="4"/>
      <c r="E41" s="4"/>
      <c r="F41" s="4"/>
    </row>
    <row r="42" customFormat="false" ht="30" hidden="false" customHeight="true" outlineLevel="0" collapsed="false">
      <c r="A42" s="6"/>
      <c r="B42" s="6"/>
      <c r="C42" s="6"/>
      <c r="D42" s="6"/>
      <c r="E42" s="6"/>
      <c r="F42" s="6"/>
    </row>
    <row r="43" customFormat="false" ht="30" hidden="false" customHeight="true" outlineLevel="0" collapsed="false">
      <c r="A43" s="4"/>
      <c r="B43" s="4"/>
      <c r="C43" s="4"/>
      <c r="D43" s="4"/>
      <c r="E43" s="4"/>
      <c r="F43" s="4"/>
    </row>
    <row r="44" customFormat="false" ht="30" hidden="false" customHeight="true" outlineLevel="0" collapsed="false">
      <c r="A44" s="6"/>
      <c r="B44" s="6"/>
      <c r="C44" s="6"/>
      <c r="D44" s="6"/>
      <c r="E44" s="6"/>
      <c r="F44" s="6"/>
    </row>
    <row r="45" customFormat="false" ht="30" hidden="false" customHeight="true" outlineLevel="0" collapsed="false">
      <c r="A45" s="4"/>
      <c r="B45" s="4"/>
      <c r="C45" s="4"/>
      <c r="D45" s="4"/>
      <c r="E45" s="4"/>
      <c r="F45" s="4"/>
    </row>
    <row r="46" customFormat="false" ht="30" hidden="false" customHeight="true" outlineLevel="0" collapsed="false">
      <c r="A46" s="6"/>
      <c r="B46" s="6"/>
      <c r="C46" s="6"/>
      <c r="D46" s="6"/>
      <c r="E46" s="6"/>
      <c r="F46" s="6"/>
    </row>
    <row r="47" customFormat="false" ht="30" hidden="false" customHeight="true" outlineLevel="0" collapsed="false">
      <c r="A47" s="4"/>
      <c r="B47" s="4"/>
      <c r="C47" s="4"/>
      <c r="D47" s="4"/>
      <c r="E47" s="4"/>
      <c r="F47" s="4"/>
    </row>
    <row r="48" customFormat="false" ht="30" hidden="false" customHeight="true" outlineLevel="0" collapsed="false">
      <c r="A48" s="6"/>
      <c r="B48" s="6"/>
      <c r="C48" s="6"/>
      <c r="D48" s="6"/>
      <c r="E48" s="6"/>
      <c r="F48" s="6"/>
    </row>
    <row r="49" customFormat="false" ht="30" hidden="false" customHeight="true" outlineLevel="0" collapsed="false">
      <c r="A49" s="4"/>
      <c r="B49" s="4"/>
      <c r="C49" s="4"/>
      <c r="D49" s="4"/>
      <c r="E49" s="4"/>
      <c r="F49" s="4"/>
    </row>
    <row r="50" customFormat="false" ht="30" hidden="false" customHeight="true" outlineLevel="0" collapsed="false">
      <c r="A50" s="6"/>
      <c r="B50" s="6"/>
      <c r="C50" s="6"/>
      <c r="D50" s="6"/>
      <c r="E50" s="6"/>
      <c r="F50" s="6"/>
    </row>
    <row r="51" customFormat="false" ht="30" hidden="false" customHeight="true" outlineLevel="0" collapsed="false">
      <c r="A51" s="4"/>
      <c r="B51" s="4"/>
      <c r="C51" s="4"/>
      <c r="D51" s="4"/>
      <c r="E51" s="4"/>
      <c r="F51" s="4"/>
    </row>
    <row r="52" customFormat="false" ht="30" hidden="false" customHeight="true" outlineLevel="0" collapsed="false">
      <c r="A52" s="6"/>
      <c r="B52" s="6"/>
      <c r="C52" s="6"/>
      <c r="D52" s="6"/>
      <c r="E52" s="6"/>
      <c r="F52" s="6"/>
    </row>
    <row r="53" customFormat="false" ht="30" hidden="false" customHeight="true" outlineLevel="0" collapsed="false">
      <c r="A53" s="4"/>
      <c r="B53" s="4"/>
      <c r="C53" s="4"/>
      <c r="D53" s="4"/>
      <c r="E53" s="4"/>
      <c r="F53" s="4"/>
    </row>
    <row r="54" customFormat="false" ht="30" hidden="false" customHeight="true" outlineLevel="0" collapsed="false">
      <c r="A54" s="6"/>
      <c r="B54" s="6"/>
      <c r="C54" s="6"/>
      <c r="D54" s="6"/>
      <c r="E54" s="6"/>
      <c r="F54" s="6"/>
    </row>
    <row r="55" customFormat="false" ht="30" hidden="false" customHeight="true" outlineLevel="0" collapsed="false">
      <c r="A55" s="4"/>
      <c r="B55" s="4"/>
      <c r="C55" s="4"/>
      <c r="D55" s="4"/>
      <c r="E55" s="4"/>
      <c r="F55" s="4"/>
    </row>
    <row r="56" customFormat="false" ht="30" hidden="false" customHeight="true" outlineLevel="0" collapsed="false">
      <c r="A56" s="6"/>
      <c r="B56" s="6"/>
      <c r="C56" s="6"/>
      <c r="D56" s="6"/>
      <c r="E56" s="6"/>
      <c r="F56" s="6"/>
    </row>
    <row r="57" customFormat="false" ht="30" hidden="false" customHeight="true" outlineLevel="0" collapsed="false">
      <c r="A57" s="4"/>
      <c r="B57" s="4"/>
      <c r="C57" s="4"/>
      <c r="D57" s="4"/>
      <c r="E57" s="4"/>
      <c r="F57" s="4"/>
    </row>
    <row r="58" customFormat="false" ht="30" hidden="false" customHeight="true" outlineLevel="0" collapsed="false">
      <c r="A58" s="6"/>
      <c r="B58" s="6"/>
      <c r="C58" s="6"/>
      <c r="D58" s="6"/>
      <c r="E58" s="6"/>
      <c r="F58" s="6"/>
    </row>
    <row r="59" customFormat="false" ht="30" hidden="false" customHeight="true" outlineLevel="0" collapsed="false">
      <c r="A59" s="4"/>
      <c r="B59" s="4"/>
      <c r="C59" s="4"/>
      <c r="D59" s="4"/>
      <c r="E59" s="4"/>
      <c r="F5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2026-02-27T14:29:18Z</dcterms:created>
  <dc:creator>openpyxl</dc:creator>
  <dc:description/>
  <dc:language>en-US</dc:language>
  <cp:lastModifiedBy/>
  <dcterms:modified xsi:type="dcterms:W3CDTF">2026-02-27T14:29:19Z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