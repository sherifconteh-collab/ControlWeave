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Checklist" sheetId="1" state="visible" r:id="rId3"/>
    <sheet name="Prospect Pipeline" sheetId="2" state="visible" r:id="rId4"/>
    <sheet name="Content Calendar" sheetId="3" state="visible" r:id="rId5"/>
    <sheet name="MRR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<sst xmlns="http://schemas.openxmlformats.org/spreadsheetml/2006/main" count="526" uniqueCount="293">
  <si>
    <t xml:space="preserve">CONTROLWEAVE  |  GTM Launch Checklist &amp; Timeline</t>
  </si>
  <si>
    <t xml:space="preserve">Q1–Q2 2026  •  90-Day Full-Launch Plan  •  Owner: Jaja Conteh / Conteh Consulting LLC</t>
  </si>
  <si>
    <t xml:space="preserve">Phase</t>
  </si>
  <si>
    <t xml:space="preserve">Week / Timeline</t>
  </si>
  <si>
    <t xml:space="preserve">Task</t>
  </si>
  <si>
    <t xml:space="preserve">Category</t>
  </si>
  <si>
    <t xml:space="preserve">Owner</t>
  </si>
  <si>
    <t xml:space="preserve">Due Date</t>
  </si>
  <si>
    <t xml:space="preserve">Status</t>
  </si>
  <si>
    <t xml:space="preserve">Notes</t>
  </si>
  <si>
    <t xml:space="preserve">  PHASE 0: FOUNDATION</t>
  </si>
  <si>
    <t xml:space="preserve">Phase 0: Foundation</t>
  </si>
  <si>
    <t xml:space="preserve">Weeks 1–2</t>
  </si>
  <si>
    <t xml:space="preserve">Finalize Railway one-click deploy and verify Community Edition runs end-to-end</t>
  </si>
  <si>
    <t xml:space="preserve">Infrastructure</t>
  </si>
  <si>
    <t xml:space="preserve">Jaja</t>
  </si>
  <si>
    <t xml:space="preserve">2026-03-06</t>
  </si>
  <si>
    <t xml:space="preserve">Done</t>
  </si>
  <si>
    <t xml:space="preserve">Confirm health checks pass</t>
  </si>
  <si>
    <t xml:space="preserve">Publish Community Edition to GitHub (public repo) with polished README</t>
  </si>
  <si>
    <t xml:space="preserve">Not Started</t>
  </si>
  <si>
    <t xml:space="preserve">Include Railway deploy button</t>
  </si>
  <si>
    <t xml:space="preserve">Build controlweave.com landing page: hero, pricing, CTA (“Deploy Free” + “Book a Demo”)</t>
  </si>
  <si>
    <t xml:space="preserve">Marketing</t>
  </si>
  <si>
    <t xml:space="preserve">Framer or Webflow recommended</t>
  </si>
  <si>
    <t xml:space="preserve">Set up CRM (HubSpot free or Pipedrive); import initial 200 CISO prospect list</t>
  </si>
  <si>
    <t xml:space="preserve">Sales</t>
  </si>
  <si>
    <t xml:space="preserve">Use LinkedIn Sales Navigator for list build</t>
  </si>
  <si>
    <t xml:space="preserve">Record 3-minute product demo video (Loom); embed on landing page</t>
  </si>
  <si>
    <t xml:space="preserve">2026-03-08</t>
  </si>
  <si>
    <t xml:space="preserve">Show AI Copilot + multi-framework crosswalk</t>
  </si>
  <si>
    <t xml:space="preserve">Configure Calendly / booking link for discovery calls</t>
  </si>
  <si>
    <t xml:space="preserve">Link from landing page and LinkedIn bio</t>
  </si>
  <si>
    <t xml:space="preserve">Set up LinkedIn Sales Navigator (CISO filter: regulated industry, 250–5,000 employees)</t>
  </si>
  <si>
    <t xml:space="preserve">Save ICP search for weekly prospecting</t>
  </si>
  <si>
    <t xml:space="preserve">Draft 4 weeks of pre-scheduled LinkedIn content (EU AI Act, NIST AI RMF, product updates)</t>
  </si>
  <si>
    <t xml:space="preserve">Buffer or Hootsuite for scheduling</t>
  </si>
  <si>
    <t xml:space="preserve">Write and schedule Show HN and Reddit launch posts (r/netsec, r/compliance)</t>
  </si>
  <si>
    <t xml:space="preserve">Coordinate with GitHub publish date</t>
  </si>
  <si>
    <t xml:space="preserve">Configure analytics: Plausible or GA4 on landing page; GitHub star tracker</t>
  </si>
  <si>
    <t xml:space="preserve">  PHASE 1: PRE-LAUNCH</t>
  </si>
  <si>
    <t xml:space="preserve">Phase 1: Pre-Launch</t>
  </si>
  <si>
    <t xml:space="preserve">Weeks 2–4</t>
  </si>
  <si>
    <t xml:space="preserve">Begin LinkedIn outbound: 50 connection requests/week to CISO ICP</t>
  </si>
  <si>
    <t xml:space="preserve">2026-03-15</t>
  </si>
  <si>
    <t xml:space="preserve">Use saved ICP search in Sales Navigator</t>
  </si>
  <si>
    <t xml:space="preserve">Send Day-3 follow-up messages to all accepted connections</t>
  </si>
  <si>
    <t xml:space="preserve">Rolling</t>
  </si>
  <si>
    <t xml:space="preserve">Personalize with their framework or industry</t>
  </si>
  <si>
    <t xml:space="preserve">Publish LinkedIn Article 1: “EU AI Act Enforcement: What CISOs Need to Do Now”</t>
  </si>
  <si>
    <t xml:space="preserve">2026-03-10</t>
  </si>
  <si>
    <t xml:space="preserve">Tag EU AI Act, NIST AI RMF hashtags</t>
  </si>
  <si>
    <t xml:space="preserve">Publish LinkedIn Article 2: “Why NIST AI RMF Needs a Dedicated Tool”</t>
  </si>
  <si>
    <t xml:space="preserve">2026-03-17</t>
  </si>
  <si>
    <t xml:space="preserve">Soft CTA to Community Edition</t>
  </si>
  <si>
    <t xml:space="preserve">Launch Community Edition: post to Hacker News (Show HN), r/netsec, r/compliance</t>
  </si>
  <si>
    <t xml:space="preserve">Time HN post for 9am EST Tuesday/Wednesday</t>
  </si>
  <si>
    <t xml:space="preserve">Send 20 personalized cold emails to warm prospects (prior contacts, conference met)</t>
  </si>
  <si>
    <t xml:space="preserve">2026-03-13</t>
  </si>
  <si>
    <t xml:space="preserve">Use cold email template from GTM strategy doc</t>
  </si>
  <si>
    <t xml:space="preserve">Weeks 2″4</t>
  </si>
  <si>
    <t xml:space="preserve">Join CISO Slack communities and GRC forums; introduce ControlWeave contextually</t>
  </si>
  <si>
    <t xml:space="preserve">CISO Collective, Cyber Leadership Forum</t>
  </si>
  <si>
    <t xml:space="preserve">Target KPI: 5 discovery calls booked</t>
  </si>
  <si>
    <t xml:space="preserve">KPI</t>
  </si>
  <si>
    <t xml:space="preserve">2026-03-22</t>
  </si>
  <si>
    <t xml:space="preserve">Track in CRM pipeline</t>
  </si>
  <si>
    <t xml:space="preserve">  PHASE 2: SOFT LAUNCH</t>
  </si>
  <si>
    <t xml:space="preserve">Phase 2: Soft Launch</t>
  </si>
  <si>
    <t xml:space="preserve">Weeks 4–6</t>
  </si>
  <si>
    <t xml:space="preserve">Conduct first 5 discovery calls; document objections and ICP refinements</t>
  </si>
  <si>
    <t xml:space="preserve">2026-03-29</t>
  </si>
  <si>
    <t xml:space="preserve">Log every call outcome in CRM</t>
  </si>
  <si>
    <t xml:space="preserve">Convert 2+ discovery calls to 90-day Professional trial (free, no CC)</t>
  </si>
  <si>
    <t xml:space="preserve">2026-04-05</t>
  </si>
  <si>
    <t xml:space="preserve">Send trial activation email within 24h of call</t>
  </si>
  <si>
    <t xml:space="preserve">Scale LinkedIn outbound to 100 connections/week</t>
  </si>
  <si>
    <t xml:space="preserve">Add personalization based on recent posts</t>
  </si>
  <si>
    <t xml:space="preserve">Weeks 4″6</t>
  </si>
  <si>
    <t xml:space="preserve">Begin MSSP / consulting partner outreach: identify and contact 20 target firms</t>
  </si>
  <si>
    <t xml:space="preserve">Partnerships</t>
  </si>
  <si>
    <t xml:space="preserve">Boutique GRC consulting firms as priority</t>
  </si>
  <si>
    <t xml:space="preserve">Publish weekly LinkedIn post (3x/week cadence): compliance insights + product features</t>
  </si>
  <si>
    <t xml:space="preserve">Maintain content calendar in Lead Tracker</t>
  </si>
  <si>
    <t xml:space="preserve">Launch email newsletter (Substack/ConvertKit): “The Compliance Edge” weekly brief</t>
  </si>
  <si>
    <t xml:space="preserve">2026-04-01</t>
  </si>
  <si>
    <t xml:space="preserve">Import LinkedIn connections who opt in</t>
  </si>
  <si>
    <t xml:space="preserve">Refine landing page based on discovery call feedback (messaging, proof points)</t>
  </si>
  <si>
    <t xml:space="preserve">2026-04-10</t>
  </si>
  <si>
    <t xml:space="preserve">Add framework logos and CISO quote if available</t>
  </si>
  <si>
    <t xml:space="preserve">Target KPI: 20 discovery calls total, 5 paying customers, $2,500 MRR</t>
  </si>
  <si>
    <t xml:space="preserve">2026-04-15</t>
  </si>
  <si>
    <t xml:space="preserve">Review in weekly pipeline session</t>
  </si>
  <si>
    <t xml:space="preserve">  PHASE 3: FULL LAUNCH</t>
  </si>
  <si>
    <t xml:space="preserve">Phase 3: Full Launch</t>
  </si>
  <si>
    <t xml:space="preserve">Months 2″3</t>
  </si>
  <si>
    <t xml:space="preserve">Sign first MSSP / consulting partner; conduct joint onboarding session</t>
  </si>
  <si>
    <t xml:space="preserve">2026-04-30</t>
  </si>
  <si>
    <t xml:space="preserve">Provide co-branded one-pager</t>
  </si>
  <si>
    <t xml:space="preserve">Publish first customer case study (with permission): before/after compliance story</t>
  </si>
  <si>
    <t xml:space="preserve">2026-05-01</t>
  </si>
  <si>
    <t xml:space="preserve">500-word LinkedIn article + PDF version</t>
  </si>
  <si>
    <t xml:space="preserve">Launch referral program: 1 month free per paying referral</t>
  </si>
  <si>
    <t xml:space="preserve">2026-04-20</t>
  </si>
  <si>
    <t xml:space="preserve">Configure in Stripe or billing system</t>
  </si>
  <si>
    <t xml:space="preserve">Begin Q3 2026 conference / speaking opportunity applications (RSA, GRC Summit, ISACA)</t>
  </si>
  <si>
    <t xml:space="preserve">2026-05-15</t>
  </si>
  <si>
    <t xml:space="preserve">Submit 2+ speaking proposals</t>
  </si>
  <si>
    <t xml:space="preserve">Review pricing: assess trial-to-paid conversion; consider introductory annual plan promo</t>
  </si>
  <si>
    <t xml:space="preserve">Strategy</t>
  </si>
  <si>
    <t xml:space="preserve">If conversion &lt; 10%, investigate blockers</t>
  </si>
  <si>
    <t xml:space="preserve">Community Edition: respond to all GitHub issues within 24h; merge first community PRs</t>
  </si>
  <si>
    <t xml:space="preserve">Community momentum = future leads</t>
  </si>
  <si>
    <t xml:space="preserve">Monthly strategy review: channel performance, MRR, conversion rates, content analytics</t>
  </si>
  <si>
    <t xml:space="preserve">Adjust channel mix based on data</t>
  </si>
  <si>
    <t xml:space="preserve">Target KPI: 50 discovery calls, 50 paying customers, $20,000 MRR, 500 GitHub stars</t>
  </si>
  <si>
    <t xml:space="preserve">2026-06-01</t>
  </si>
  <si>
    <t xml:space="preserve">90-day milestone review</t>
  </si>
  <si>
    <t xml:space="preserve">90-DAY KPI SCORECARD</t>
  </si>
  <si>
    <t xml:space="preserve">Metric</t>
  </si>
  <si>
    <t xml:space="preserve">30-Day Target</t>
  </si>
  <si>
    <t xml:space="preserve">60-Day Target</t>
  </si>
  <si>
    <t xml:space="preserve">90-Day Target</t>
  </si>
  <si>
    <t xml:space="preserve">Actual (30d)</t>
  </si>
  <si>
    <t xml:space="preserve">Actual (60d)</t>
  </si>
  <si>
    <t xml:space="preserve">Actual (90d)</t>
  </si>
  <si>
    <t xml:space="preserve">RAG Status</t>
  </si>
  <si>
    <t xml:space="preserve">GitHub Stars (Community)</t>
  </si>
  <si>
    <t xml:space="preserve">150</t>
  </si>
  <si>
    <t xml:space="preserve">350</t>
  </si>
  <si>
    <t xml:space="preserve">500</t>
  </si>
  <si>
    <t xml:space="preserve">Discovery Calls Booked</t>
  </si>
  <si>
    <t xml:space="preserve">10</t>
  </si>
  <si>
    <t xml:space="preserve">25</t>
  </si>
  <si>
    <t xml:space="preserve">50</t>
  </si>
  <si>
    <t xml:space="preserve">Paying Customers</t>
  </si>
  <si>
    <t xml:space="preserve">5</t>
  </si>
  <si>
    <t xml:space="preserve">20</t>
  </si>
  <si>
    <t xml:space="preserve">Monthly Recurring Revenue</t>
  </si>
  <si>
    <t xml:space="preserve">$2,500</t>
  </si>
  <si>
    <t xml:space="preserve">$8,000</t>
  </si>
  <si>
    <t xml:space="preserve">$20,000</t>
  </si>
  <si>
    <t xml:space="preserve">LinkedIn Followers (Net New)</t>
  </si>
  <si>
    <t xml:space="preserve">+200</t>
  </si>
  <si>
    <t xml:space="preserve">+500</t>
  </si>
  <si>
    <t xml:space="preserve">+1,000</t>
  </si>
  <si>
    <t xml:space="preserve">Newsletter Subscribers</t>
  </si>
  <si>
    <t xml:space="preserve">250</t>
  </si>
  <si>
    <t xml:space="preserve">600</t>
  </si>
  <si>
    <t xml:space="preserve">1,000</t>
  </si>
  <si>
    <t xml:space="preserve">MSSP Partners Signed</t>
  </si>
  <si>
    <t xml:space="preserve">0</t>
  </si>
  <si>
    <t xml:space="preserve">1</t>
  </si>
  <si>
    <t xml:space="preserve">3</t>
  </si>
  <si>
    <t xml:space="preserve">Trial-to-Paid Conversion</t>
  </si>
  <si>
    <t xml:space="preserve">n/a</t>
  </si>
  <si>
    <t xml:space="preserve">15%</t>
  </si>
  <si>
    <t xml:space="preserve">20%+</t>
  </si>
  <si>
    <t xml:space="preserve">CONTROLWEAVE  |  CISO Prospect Pipeline</t>
  </si>
  <si>
    <t xml:space="preserve">Primary ICP: CISOs • Mid-Market &amp; Enterprise • Regulated Industries</t>
  </si>
  <si>
    <t xml:space="preserve">Full Name</t>
  </si>
  <si>
    <t xml:space="preserve">Title</t>
  </si>
  <si>
    <t xml:space="preserve">Company</t>
  </si>
  <si>
    <t xml:space="preserve">Industry</t>
  </si>
  <si>
    <t xml:space="preserve">Company Size</t>
  </si>
  <si>
    <t xml:space="preserve">Stage</t>
  </si>
  <si>
    <t xml:space="preserve">Last Action</t>
  </si>
  <si>
    <t xml:space="preserve">Next Step</t>
  </si>
  <si>
    <t xml:space="preserve">Sarah Mitchell</t>
  </si>
  <si>
    <t xml:space="preserve">CISO</t>
  </si>
  <si>
    <t xml:space="preserve">Apex Financial Group</t>
  </si>
  <si>
    <t xml:space="preserve">Financial Services</t>
  </si>
  <si>
    <t xml:space="preserve">1,200 emp</t>
  </si>
  <si>
    <t xml:space="preserve">New</t>
  </si>
  <si>
    <t xml:space="preserve">Found via LinkedIn search</t>
  </si>
  <si>
    <t xml:space="preserve">Send connection request</t>
  </si>
  <si>
    <t xml:space="preserve">Managing SOC 2 + NIST 800-53</t>
  </si>
  <si>
    <t xml:space="preserve">David Okonkwo</t>
  </si>
  <si>
    <t xml:space="preserve">VP of Security</t>
  </si>
  <si>
    <t xml:space="preserve">HealthBridge Systems</t>
  </si>
  <si>
    <t xml:space="preserve">Healthcare</t>
  </si>
  <si>
    <t xml:space="preserve">800 emp</t>
  </si>
  <si>
    <t xml:space="preserve">HIPAA + NIST AI RMF exposure</t>
  </si>
  <si>
    <t xml:space="preserve">Jennifer Tran</t>
  </si>
  <si>
    <t xml:space="preserve">Director of GRC</t>
  </si>
  <si>
    <t xml:space="preserve">ClearPath SaaS</t>
  </si>
  <si>
    <t xml:space="preserve">Technology</t>
  </si>
  <si>
    <t xml:space="preserve">450 emp</t>
  </si>
  <si>
    <t xml:space="preserve">2026-03-07</t>
  </si>
  <si>
    <t xml:space="preserve">SOC 2 Type II in progress</t>
  </si>
  <si>
    <t xml:space="preserve">Marcus Webb</t>
  </si>
  <si>
    <t xml:space="preserve">Delta Energy Corp</t>
  </si>
  <si>
    <t xml:space="preserve">Energy / Utilities</t>
  </si>
  <si>
    <t xml:space="preserve">3,200 emp</t>
  </si>
  <si>
    <t xml:space="preserve">NERC CIP focus</t>
  </si>
  <si>
    <t xml:space="preserve">Priya Sharma</t>
  </si>
  <si>
    <t xml:space="preserve">Chief Compliance Officer</t>
  </si>
  <si>
    <t xml:space="preserve">NovaTech Federal</t>
  </si>
  <si>
    <t xml:space="preserve">Federal Contractor</t>
  </si>
  <si>
    <t xml:space="preserve">620 emp</t>
  </si>
  <si>
    <t xml:space="preserve">CMMC + NIST 800-53</t>
  </si>
  <si>
    <t xml:space="preserve">PIPELINE SUMMARY (auto-update these after each weekly review)</t>
  </si>
  <si>
    <t xml:space="preserve">Total Prospects in Pipeline</t>
  </si>
  <si>
    <t xml:space="preserve">Discovery Calls This Week</t>
  </si>
  <si>
    <t xml:space="preserve">Connected (not yet messaged)</t>
  </si>
  <si>
    <t xml:space="preserve">Trials Active</t>
  </si>
  <si>
    <t xml:space="preserve">Pipeline MRR (est.)</t>
  </si>
  <si>
    <t xml:space="preserve">CONTROLWEAVE  |  LinkedIn + Content Marketing Calendar</t>
  </si>
  <si>
    <t xml:space="preserve">3x/week LinkedIn  •  1x/week Newsletter  •  Goal: 1,000+ impressions/post</t>
  </si>
  <si>
    <t xml:space="preserve">Date</t>
  </si>
  <si>
    <t xml:space="preserve">Platform</t>
  </si>
  <si>
    <t xml:space="preserve">Content Pillar</t>
  </si>
  <si>
    <t xml:space="preserve">Headline / Topic</t>
  </si>
  <si>
    <t xml:space="preserve">Format</t>
  </si>
  <si>
    <t xml:space="preserve">CTA</t>
  </si>
  <si>
    <t xml:space="preserve">Impressions</t>
  </si>
  <si>
    <t xml:space="preserve">LinkedIn</t>
  </si>
  <si>
    <t xml:space="preserve">AI Governance</t>
  </si>
  <si>
    <t xml:space="preserve">EU AI Act Enforcement: What CISOs Need to Do Right Now</t>
  </si>
  <si>
    <t xml:space="preserve">Article</t>
  </si>
  <si>
    <t xml:space="preserve">Comment your biggest AI compliance gap</t>
  </si>
  <si>
    <t xml:space="preserve">Scheduled</t>
  </si>
  <si>
    <t xml:space="preserve">2026-03-12</t>
  </si>
  <si>
    <t xml:space="preserve">GRC Automation</t>
  </si>
  <si>
    <t xml:space="preserve">Why compliance teams are still in Excel (and how to get out)</t>
  </si>
  <si>
    <t xml:space="preserve">Post</t>
  </si>
  <si>
    <t xml:space="preserve">Try ControlWeave free — link in comments</t>
  </si>
  <si>
    <t xml:space="preserve">2026-03-14</t>
  </si>
  <si>
    <t xml:space="preserve">Product Feature</t>
  </si>
  <si>
    <t xml:space="preserve">How ControlWeave’s AI Copilot maps 1,007 NIST controls automatically</t>
  </si>
  <si>
    <t xml:space="preserve">Demo clip</t>
  </si>
  <si>
    <t xml:space="preserve">Book a 15-min demo</t>
  </si>
  <si>
    <t xml:space="preserve">NIST AI RMF in Practice: The 4 Functions Every Security Team Needs</t>
  </si>
  <si>
    <t xml:space="preserve">Download our NIST AI RMF checklist</t>
  </si>
  <si>
    <t xml:space="preserve">2026-03-19</t>
  </si>
  <si>
    <t xml:space="preserve">Compliance Insight</t>
  </si>
  <si>
    <t xml:space="preserve">SOC 2 vs ISO 27001 vs NIST 800-53: Which frameworks overlap (and where)?</t>
  </si>
  <si>
    <t xml:space="preserve">Carousel</t>
  </si>
  <si>
    <t xml:space="preserve">Tag a GRC colleague</t>
  </si>
  <si>
    <t xml:space="preserve">Draft</t>
  </si>
  <si>
    <t xml:space="preserve">2026-03-21</t>
  </si>
  <si>
    <t xml:space="preserve">Community / Launch</t>
  </si>
  <si>
    <t xml:space="preserve">We just open-sourced ControlWeave — 18 frameworks, free to deploy</t>
  </si>
  <si>
    <t xml:space="preserve">GitHub link in comments</t>
  </si>
  <si>
    <t xml:space="preserve">2026-03-24</t>
  </si>
  <si>
    <t xml:space="preserve">The EU AI Act just hit enforcement. Is your AI inventory ready?</t>
  </si>
  <si>
    <t xml:space="preserve">Poll</t>
  </si>
  <si>
    <t xml:space="preserve">Vote + link to ControlWeave AI monitoring</t>
  </si>
  <si>
    <t xml:space="preserve">2026-03-26</t>
  </si>
  <si>
    <t xml:space="preserve">Audit prep used to take 6 months. Here’s how teams are cutting it to weeks</t>
  </si>
  <si>
    <t xml:space="preserve">Book a discovery call</t>
  </si>
  <si>
    <t xml:space="preserve">2026-03-28</t>
  </si>
  <si>
    <t xml:space="preserve">BYOK AI Copilot: Use Anthropic, OpenAI, or Google models. Your data stays yours</t>
  </si>
  <si>
    <t xml:space="preserve">Try Community Edition free</t>
  </si>
  <si>
    <t xml:space="preserve">2026-03-31</t>
  </si>
  <si>
    <t xml:space="preserve">Newsletter</t>
  </si>
  <si>
    <t xml:space="preserve">The Compliance Edge #1: AI Act Week 1 enforcement roundup</t>
  </si>
  <si>
    <t xml:space="preserve">Subscribe + share</t>
  </si>
  <si>
    <t xml:space="preserve">2026-04-02</t>
  </si>
  <si>
    <t xml:space="preserve">NIST CAISI: What the new AI Agent Standards mean for your security team</t>
  </si>
  <si>
    <t xml:space="preserve">Comment your questions</t>
  </si>
  <si>
    <t xml:space="preserve">2026-04-04</t>
  </si>
  <si>
    <t xml:space="preserve">500+ people have deployed ControlWeave. Here’s what they’re using it for</t>
  </si>
  <si>
    <t xml:space="preserve">Link to GitHub</t>
  </si>
  <si>
    <t xml:space="preserve">2026-04-07</t>
  </si>
  <si>
    <t xml:space="preserve">The Compliance Edge #2: How AI is compressing 6-month audit cycles</t>
  </si>
  <si>
    <t xml:space="preserve">Subscribe</t>
  </si>
  <si>
    <t xml:space="preserve">CONTROLWEAVE  |  MRR &amp; Revenue Tracker</t>
  </si>
  <si>
    <t xml:space="preserve">Target: $20,000 MRR by Day 90  •  Pricing: Community (Free)  |  Starter ($179)  |  Professional ($799)  |  Enterprise ($2,999)</t>
  </si>
  <si>
    <t xml:space="preserve">Month</t>
  </si>
  <si>
    <t xml:space="preserve">Starter Customers</t>
  </si>
  <si>
    <t xml:space="preserve">Pro Customers</t>
  </si>
  <si>
    <t xml:space="preserve">Enterprise Customers</t>
  </si>
  <si>
    <t xml:space="preserve">Total Customers</t>
  </si>
  <si>
    <t xml:space="preserve">Monthly MRR</t>
  </si>
  <si>
    <t xml:space="preserve">MoM Growth %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</si>
  <si>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</si>
  <si>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</si>
  <si>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</si>
  <si>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</si>
  <si>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</si>
  <si>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</si>
  <si>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</si>
  <si>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</si>
  <si>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</si>
  <si>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</si>
  <si>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90-DAY REVENUE TARGETS</t>
  </si>
  <si>
    <t xml:space="preserve">30-Day MRR Target</t>
  </si>
  <si>
    <t xml:space="preserve">5 customers avg Starter/Pro mix</t>
  </si>
  <si>
    <t xml:space="preserve">60-Day MRR Target</t>
  </si>
  <si>
    <t xml:space="preserve">20 customers; Pro tier adoption increases</t>
  </si>
  <si>
    <t xml:space="preserve">90-Day MRR Target</t>
  </si>
  <si>
    <t xml:space="preserve">50 customers; first Enterprise deal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</si>
</sst>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;\-0.0%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444444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b val="true"/>
      <sz val="10"/>
      <color rgb="FF4B0082"/>
      <name val="Arial"/>
      <family val="0"/>
      <charset val="1"/>
    </font>
    <font>
      <b val="true"/>
      <sz val="10"/>
      <color rgb="FF0D4A7A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D4EDDA"/>
        <bgColor rgb="FFD5E8F0"/>
      </patternFill>
    </fill>
    <fill>
      <patternFill patternType="solid">
        <fgColor rgb="FFFFFFFF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1E7E34"/>
        <bgColor rgb="FF339966"/>
      </patternFill>
    </fill>
    <fill>
      <patternFill patternType="solid">
        <fgColor rgb="FF6F42C1"/>
        <bgColor rgb="FF333399"/>
      </patternFill>
    </fill>
    <fill>
      <patternFill patternType="solid">
        <fgColor rgb="FFD5E8F0"/>
        <bgColor rgb="FFD4EDDA"/>
      </patternFill>
    </fill>
    <fill>
      <patternFill patternType="solid">
        <fgColor rgb="FFE8D5F5"/>
        <bgColor rgb="FFF8D7DA"/>
      </patternFill>
    </fill>
    <fill>
      <patternFill patternType="solid">
        <fgColor rgb="FFF8D7DA"/>
        <bgColor rgb="FFE8D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56404"/>
      <rgbColor rgb="FF800080"/>
      <rgbColor rgb="FF008080"/>
      <rgbColor rgb="FFC0C0C0"/>
      <rgbColor rgb="FF888888"/>
      <rgbColor rgb="FF9999FF"/>
      <rgbColor rgb="FFDC3545"/>
      <rgbColor rgb="FFFFF3CD"/>
      <rgbColor rgb="FFD5E8F0"/>
      <rgbColor rgb="FF4B0082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6F42C1"/>
      <rgbColor rgb="FFAAAAAA"/>
      <rgbColor rgb="FF0D4A7A"/>
      <rgbColor rgb="FF339966"/>
      <rgbColor rgb="FF0D1B2A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1.7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s">
        <v>11</v>
      </c>
      <c r="B5" s="6" t="s">
        <v>12</v>
      </c>
      <c r="C5" s="7" t="s">
        <v>13</v>
      </c>
      <c r="D5" s="6" t="s">
        <v>14</v>
      </c>
      <c r="E5" s="8" t="s">
        <v>15</v>
      </c>
      <c r="F5" s="8" t="s">
        <v>16</v>
      </c>
      <c r="G5" s="9" t="s">
        <v>17</v>
      </c>
      <c r="H5" s="10" t="s">
        <v>18</v>
      </c>
    </row>
    <row r="6" customFormat="false" ht="27.75" hidden="false" customHeight="true" outlineLevel="0" collapsed="false">
      <c r="A6" s="5" t="s">
        <v>11</v>
      </c>
      <c r="B6" s="6" t="s">
        <v>12</v>
      </c>
      <c r="C6" s="7" t="s">
        <v>19</v>
      </c>
      <c r="D6" s="6" t="s">
        <v>14</v>
      </c>
      <c r="E6" s="8" t="s">
        <v>15</v>
      </c>
      <c r="F6" s="8" t="s">
        <v>16</v>
      </c>
      <c r="G6" s="11" t="s">
        <v>20</v>
      </c>
      <c r="H6" s="10" t="s">
        <v>21</v>
      </c>
    </row>
    <row r="7" customFormat="false" ht="27.75" hidden="false" customHeight="true" outlineLevel="0" collapsed="false">
      <c r="A7" s="12" t="s">
        <v>11</v>
      </c>
      <c r="B7" s="13" t="s">
        <v>12</v>
      </c>
      <c r="C7" s="14" t="s">
        <v>22</v>
      </c>
      <c r="D7" s="13" t="s">
        <v>23</v>
      </c>
      <c r="E7" s="15" t="s">
        <v>15</v>
      </c>
      <c r="F7" s="15" t="s">
        <v>16</v>
      </c>
      <c r="G7" s="11" t="s">
        <v>20</v>
      </c>
      <c r="H7" s="16" t="s">
        <v>24</v>
      </c>
    </row>
    <row r="8" customFormat="false" ht="27.75" hidden="false" customHeight="true" outlineLevel="0" collapsed="false">
      <c r="A8" s="5" t="s">
        <v>11</v>
      </c>
      <c r="B8" s="6" t="s">
        <v>12</v>
      </c>
      <c r="C8" s="7" t="s">
        <v>25</v>
      </c>
      <c r="D8" s="6" t="s">
        <v>26</v>
      </c>
      <c r="E8" s="8" t="s">
        <v>15</v>
      </c>
      <c r="F8" s="8" t="s">
        <v>16</v>
      </c>
      <c r="G8" s="11" t="s">
        <v>20</v>
      </c>
      <c r="H8" s="10" t="s">
        <v>27</v>
      </c>
    </row>
    <row r="9" customFormat="false" ht="27.75" hidden="false" customHeight="true" outlineLevel="0" collapsed="false">
      <c r="A9" s="12" t="s">
        <v>11</v>
      </c>
      <c r="B9" s="13" t="s">
        <v>12</v>
      </c>
      <c r="C9" s="14" t="s">
        <v>28</v>
      </c>
      <c r="D9" s="13" t="s">
        <v>23</v>
      </c>
      <c r="E9" s="15" t="s">
        <v>15</v>
      </c>
      <c r="F9" s="15" t="s">
        <v>29</v>
      </c>
      <c r="G9" s="11" t="s">
        <v>20</v>
      </c>
      <c r="H9" s="16" t="s">
        <v>30</v>
      </c>
    </row>
    <row r="10" customFormat="false" ht="27.75" hidden="false" customHeight="true" outlineLevel="0" collapsed="false">
      <c r="A10" s="5" t="s">
        <v>11</v>
      </c>
      <c r="B10" s="6" t="s">
        <v>12</v>
      </c>
      <c r="C10" s="7" t="s">
        <v>31</v>
      </c>
      <c r="D10" s="6" t="s">
        <v>26</v>
      </c>
      <c r="E10" s="8" t="s">
        <v>15</v>
      </c>
      <c r="F10" s="8" t="s">
        <v>16</v>
      </c>
      <c r="G10" s="11" t="s">
        <v>20</v>
      </c>
      <c r="H10" s="10" t="s">
        <v>32</v>
      </c>
    </row>
    <row r="11" customFormat="false" ht="27.75" hidden="false" customHeight="true" outlineLevel="0" collapsed="false">
      <c r="A11" s="12" t="s">
        <v>11</v>
      </c>
      <c r="B11" s="13" t="s">
        <v>12</v>
      </c>
      <c r="C11" s="14" t="s">
        <v>33</v>
      </c>
      <c r="D11" s="13" t="s">
        <v>26</v>
      </c>
      <c r="E11" s="15" t="s">
        <v>15</v>
      </c>
      <c r="F11" s="15" t="s">
        <v>16</v>
      </c>
      <c r="G11" s="11" t="s">
        <v>20</v>
      </c>
      <c r="H11" s="16" t="s">
        <v>34</v>
      </c>
    </row>
    <row r="12" customFormat="false" ht="27.75" hidden="false" customHeight="true" outlineLevel="0" collapsed="false">
      <c r="A12" s="5" t="s">
        <v>11</v>
      </c>
      <c r="B12" s="6" t="s">
        <v>12</v>
      </c>
      <c r="C12" s="7" t="s">
        <v>35</v>
      </c>
      <c r="D12" s="6" t="s">
        <v>23</v>
      </c>
      <c r="E12" s="8" t="s">
        <v>15</v>
      </c>
      <c r="F12" s="8" t="s">
        <v>29</v>
      </c>
      <c r="G12" s="11" t="s">
        <v>20</v>
      </c>
      <c r="H12" s="10" t="s">
        <v>36</v>
      </c>
    </row>
    <row r="13" customFormat="false" ht="27.75" hidden="false" customHeight="true" outlineLevel="0" collapsed="false">
      <c r="A13" s="12" t="s">
        <v>11</v>
      </c>
      <c r="B13" s="13" t="s">
        <v>12</v>
      </c>
      <c r="C13" s="14" t="s">
        <v>37</v>
      </c>
      <c r="D13" s="13" t="s">
        <v>23</v>
      </c>
      <c r="E13" s="15" t="s">
        <v>15</v>
      </c>
      <c r="F13" s="15" t="s">
        <v>29</v>
      </c>
      <c r="G13" s="11" t="s">
        <v>20</v>
      </c>
      <c r="H13" s="16" t="s">
        <v>38</v>
      </c>
    </row>
    <row r="14" customFormat="false" ht="27.75" hidden="false" customHeight="true" outlineLevel="0" collapsed="false">
      <c r="A14" s="5" t="s">
        <v>11</v>
      </c>
      <c r="B14" s="6" t="s">
        <v>12</v>
      </c>
      <c r="C14" s="7" t="s">
        <v>39</v>
      </c>
      <c r="D14" s="6" t="s">
        <v>14</v>
      </c>
      <c r="E14" s="8" t="s">
        <v>15</v>
      </c>
      <c r="F14" s="8" t="s">
        <v>29</v>
      </c>
      <c r="G14" s="11" t="s">
        <v>20</v>
      </c>
      <c r="H14" s="10"/>
    </row>
    <row r="15" customFormat="false" ht="21.75" hidden="false" customHeight="true" outlineLevel="0" collapsed="false">
      <c r="A15" s="17" t="s">
        <v>40</v>
      </c>
      <c r="B15" s="17"/>
      <c r="C15" s="17"/>
      <c r="D15" s="17"/>
      <c r="E15" s="17"/>
      <c r="F15" s="17"/>
      <c r="G15" s="17"/>
      <c r="H15" s="17"/>
    </row>
    <row r="16" customFormat="false" ht="27.75" hidden="false" customHeight="true" outlineLevel="0" collapsed="false">
      <c r="A16" s="12" t="s">
        <v>41</v>
      </c>
      <c r="B16" s="13" t="s">
        <v>42</v>
      </c>
      <c r="C16" s="14" t="s">
        <v>43</v>
      </c>
      <c r="D16" s="13" t="s">
        <v>26</v>
      </c>
      <c r="E16" s="15" t="s">
        <v>15</v>
      </c>
      <c r="F16" s="15" t="s">
        <v>44</v>
      </c>
      <c r="G16" s="11" t="s">
        <v>20</v>
      </c>
      <c r="H16" s="16" t="s">
        <v>45</v>
      </c>
    </row>
    <row r="17" customFormat="false" ht="27.75" hidden="false" customHeight="true" outlineLevel="0" collapsed="false">
      <c r="A17" s="12" t="s">
        <v>41</v>
      </c>
      <c r="B17" s="13" t="s">
        <v>42</v>
      </c>
      <c r="C17" s="14" t="s">
        <v>46</v>
      </c>
      <c r="D17" s="13" t="s">
        <v>26</v>
      </c>
      <c r="E17" s="15" t="s">
        <v>15</v>
      </c>
      <c r="F17" s="15" t="s">
        <v>47</v>
      </c>
      <c r="G17" s="11" t="s">
        <v>20</v>
      </c>
      <c r="H17" s="16" t="s">
        <v>48</v>
      </c>
    </row>
    <row r="18" customFormat="false" ht="27.75" hidden="false" customHeight="true" outlineLevel="0" collapsed="false">
      <c r="A18" s="5" t="s">
        <v>41</v>
      </c>
      <c r="B18" s="6" t="s">
        <v>42</v>
      </c>
      <c r="C18" s="7" t="s">
        <v>49</v>
      </c>
      <c r="D18" s="6" t="s">
        <v>23</v>
      </c>
      <c r="E18" s="8" t="s">
        <v>15</v>
      </c>
      <c r="F18" s="8" t="s">
        <v>50</v>
      </c>
      <c r="G18" s="11" t="s">
        <v>20</v>
      </c>
      <c r="H18" s="10" t="s">
        <v>51</v>
      </c>
    </row>
    <row r="19" customFormat="false" ht="27.75" hidden="false" customHeight="true" outlineLevel="0" collapsed="false">
      <c r="A19" s="12" t="s">
        <v>41</v>
      </c>
      <c r="B19" s="13" t="s">
        <v>42</v>
      </c>
      <c r="C19" s="14" t="s">
        <v>52</v>
      </c>
      <c r="D19" s="13" t="s">
        <v>23</v>
      </c>
      <c r="E19" s="15" t="s">
        <v>15</v>
      </c>
      <c r="F19" s="15" t="s">
        <v>53</v>
      </c>
      <c r="G19" s="11" t="s">
        <v>20</v>
      </c>
      <c r="H19" s="16" t="s">
        <v>54</v>
      </c>
    </row>
    <row r="20" customFormat="false" ht="27.75" hidden="false" customHeight="true" outlineLevel="0" collapsed="false">
      <c r="A20" s="5" t="s">
        <v>41</v>
      </c>
      <c r="B20" s="6" t="s">
        <v>42</v>
      </c>
      <c r="C20" s="7" t="s">
        <v>55</v>
      </c>
      <c r="D20" s="6" t="s">
        <v>23</v>
      </c>
      <c r="E20" s="8" t="s">
        <v>15</v>
      </c>
      <c r="F20" s="8" t="s">
        <v>50</v>
      </c>
      <c r="G20" s="11" t="s">
        <v>20</v>
      </c>
      <c r="H20" s="10" t="s">
        <v>56</v>
      </c>
    </row>
    <row r="21" customFormat="false" ht="27.75" hidden="false" customHeight="true" outlineLevel="0" collapsed="false">
      <c r="A21" s="12" t="s">
        <v>41</v>
      </c>
      <c r="B21" s="13" t="s">
        <v>42</v>
      </c>
      <c r="C21" s="14" t="s">
        <v>57</v>
      </c>
      <c r="D21" s="13" t="s">
        <v>26</v>
      </c>
      <c r="E21" s="15" t="s">
        <v>15</v>
      </c>
      <c r="F21" s="15" t="s">
        <v>58</v>
      </c>
      <c r="G21" s="11" t="s">
        <v>20</v>
      </c>
      <c r="H21" s="16" t="s">
        <v>59</v>
      </c>
    </row>
    <row r="22" customFormat="false" ht="27.75" hidden="false" customHeight="true" outlineLevel="0" collapsed="false">
      <c r="A22" s="5" t="s">
        <v>41</v>
      </c>
      <c r="B22" s="6" t="s">
        <v>60</v>
      </c>
      <c r="C22" s="7" t="s">
        <v>61</v>
      </c>
      <c r="D22" s="6" t="s">
        <v>23</v>
      </c>
      <c r="E22" s="8" t="s">
        <v>15</v>
      </c>
      <c r="F22" s="8" t="s">
        <v>44</v>
      </c>
      <c r="G22" s="11" t="s">
        <v>20</v>
      </c>
      <c r="H22" s="10" t="s">
        <v>62</v>
      </c>
    </row>
    <row r="23" customFormat="false" ht="27.75" hidden="false" customHeight="true" outlineLevel="0" collapsed="false">
      <c r="A23" s="18" t="s">
        <v>41</v>
      </c>
      <c r="B23" s="19" t="s">
        <v>60</v>
      </c>
      <c r="C23" s="20" t="s">
        <v>63</v>
      </c>
      <c r="D23" s="19" t="s">
        <v>64</v>
      </c>
      <c r="E23" s="21" t="s">
        <v>15</v>
      </c>
      <c r="F23" s="21" t="s">
        <v>65</v>
      </c>
      <c r="G23" s="11" t="s">
        <v>20</v>
      </c>
      <c r="H23" s="22" t="s">
        <v>66</v>
      </c>
    </row>
    <row r="24" customFormat="false" ht="21.75" hidden="false" customHeight="true" outlineLevel="0" collapsed="false">
      <c r="A24" s="23" t="s">
        <v>67</v>
      </c>
      <c r="B24" s="23"/>
      <c r="C24" s="23"/>
      <c r="D24" s="23"/>
      <c r="E24" s="23"/>
      <c r="F24" s="23"/>
      <c r="G24" s="23"/>
      <c r="H24" s="23"/>
    </row>
    <row r="25" customFormat="false" ht="27.75" hidden="false" customHeight="true" outlineLevel="0" collapsed="false">
      <c r="A25" s="5" t="s">
        <v>68</v>
      </c>
      <c r="B25" s="6" t="s">
        <v>69</v>
      </c>
      <c r="C25" s="7" t="s">
        <v>70</v>
      </c>
      <c r="D25" s="6" t="s">
        <v>26</v>
      </c>
      <c r="E25" s="8" t="s">
        <v>15</v>
      </c>
      <c r="F25" s="8" t="s">
        <v>71</v>
      </c>
      <c r="G25" s="11" t="s">
        <v>20</v>
      </c>
      <c r="H25" s="10" t="s">
        <v>72</v>
      </c>
    </row>
    <row r="26" customFormat="false" ht="27.75" hidden="false" customHeight="true" outlineLevel="0" collapsed="false">
      <c r="A26" s="5" t="s">
        <v>68</v>
      </c>
      <c r="B26" s="6" t="s">
        <v>69</v>
      </c>
      <c r="C26" s="7" t="s">
        <v>73</v>
      </c>
      <c r="D26" s="6" t="s">
        <v>26</v>
      </c>
      <c r="E26" s="8" t="s">
        <v>15</v>
      </c>
      <c r="F26" s="8" t="s">
        <v>74</v>
      </c>
      <c r="G26" s="11" t="s">
        <v>20</v>
      </c>
      <c r="H26" s="10" t="s">
        <v>75</v>
      </c>
    </row>
    <row r="27" customFormat="false" ht="27.75" hidden="false" customHeight="true" outlineLevel="0" collapsed="false">
      <c r="A27" s="12" t="s">
        <v>68</v>
      </c>
      <c r="B27" s="13" t="s">
        <v>69</v>
      </c>
      <c r="C27" s="14" t="s">
        <v>76</v>
      </c>
      <c r="D27" s="13" t="s">
        <v>26</v>
      </c>
      <c r="E27" s="15" t="s">
        <v>15</v>
      </c>
      <c r="F27" s="15" t="s">
        <v>74</v>
      </c>
      <c r="G27" s="11" t="s">
        <v>20</v>
      </c>
      <c r="H27" s="16" t="s">
        <v>77</v>
      </c>
    </row>
    <row r="28" customFormat="false" ht="27.75" hidden="false" customHeight="true" outlineLevel="0" collapsed="false">
      <c r="A28" s="5" t="s">
        <v>68</v>
      </c>
      <c r="B28" s="6" t="s">
        <v>78</v>
      </c>
      <c r="C28" s="7" t="s">
        <v>79</v>
      </c>
      <c r="D28" s="6" t="s">
        <v>80</v>
      </c>
      <c r="E28" s="8" t="s">
        <v>15</v>
      </c>
      <c r="F28" s="8" t="s">
        <v>74</v>
      </c>
      <c r="G28" s="11" t="s">
        <v>20</v>
      </c>
      <c r="H28" s="10" t="s">
        <v>81</v>
      </c>
    </row>
    <row r="29" customFormat="false" ht="27.75" hidden="false" customHeight="true" outlineLevel="0" collapsed="false">
      <c r="A29" s="12" t="s">
        <v>68</v>
      </c>
      <c r="B29" s="13" t="s">
        <v>78</v>
      </c>
      <c r="C29" s="14" t="s">
        <v>82</v>
      </c>
      <c r="D29" s="13" t="s">
        <v>23</v>
      </c>
      <c r="E29" s="15" t="s">
        <v>15</v>
      </c>
      <c r="F29" s="15" t="s">
        <v>47</v>
      </c>
      <c r="G29" s="11" t="s">
        <v>20</v>
      </c>
      <c r="H29" s="16" t="s">
        <v>83</v>
      </c>
    </row>
    <row r="30" customFormat="false" ht="27.75" hidden="false" customHeight="true" outlineLevel="0" collapsed="false">
      <c r="A30" s="5" t="s">
        <v>68</v>
      </c>
      <c r="B30" s="6" t="s">
        <v>78</v>
      </c>
      <c r="C30" s="7" t="s">
        <v>84</v>
      </c>
      <c r="D30" s="6" t="s">
        <v>23</v>
      </c>
      <c r="E30" s="8" t="s">
        <v>15</v>
      </c>
      <c r="F30" s="8" t="s">
        <v>85</v>
      </c>
      <c r="G30" s="11" t="s">
        <v>20</v>
      </c>
      <c r="H30" s="10" t="s">
        <v>86</v>
      </c>
    </row>
    <row r="31" customFormat="false" ht="27.75" hidden="false" customHeight="true" outlineLevel="0" collapsed="false">
      <c r="A31" s="12" t="s">
        <v>68</v>
      </c>
      <c r="B31" s="13" t="s">
        <v>78</v>
      </c>
      <c r="C31" s="14" t="s">
        <v>87</v>
      </c>
      <c r="D31" s="13" t="s">
        <v>23</v>
      </c>
      <c r="E31" s="15" t="s">
        <v>15</v>
      </c>
      <c r="F31" s="15" t="s">
        <v>88</v>
      </c>
      <c r="G31" s="11" t="s">
        <v>20</v>
      </c>
      <c r="H31" s="16" t="s">
        <v>89</v>
      </c>
    </row>
    <row r="32" customFormat="false" ht="27.75" hidden="false" customHeight="true" outlineLevel="0" collapsed="false">
      <c r="A32" s="18" t="s">
        <v>68</v>
      </c>
      <c r="B32" s="19" t="s">
        <v>78</v>
      </c>
      <c r="C32" s="20" t="s">
        <v>90</v>
      </c>
      <c r="D32" s="19" t="s">
        <v>64</v>
      </c>
      <c r="E32" s="21" t="s">
        <v>15</v>
      </c>
      <c r="F32" s="21" t="s">
        <v>91</v>
      </c>
      <c r="G32" s="11" t="s">
        <v>20</v>
      </c>
      <c r="H32" s="22" t="s">
        <v>92</v>
      </c>
    </row>
    <row r="33" customFormat="false" ht="21.75" hidden="false" customHeight="true" outlineLevel="0" collapsed="false">
      <c r="A33" s="24" t="s">
        <v>93</v>
      </c>
      <c r="B33" s="24"/>
      <c r="C33" s="24"/>
      <c r="D33" s="24"/>
      <c r="E33" s="24"/>
      <c r="F33" s="24"/>
      <c r="G33" s="24"/>
      <c r="H33" s="24"/>
    </row>
    <row r="34" customFormat="false" ht="27.75" hidden="false" customHeight="true" outlineLevel="0" collapsed="false">
      <c r="A34" s="12" t="s">
        <v>94</v>
      </c>
      <c r="B34" s="13" t="s">
        <v>95</v>
      </c>
      <c r="C34" s="14" t="s">
        <v>96</v>
      </c>
      <c r="D34" s="13" t="s">
        <v>80</v>
      </c>
      <c r="E34" s="15" t="s">
        <v>15</v>
      </c>
      <c r="F34" s="15" t="s">
        <v>97</v>
      </c>
      <c r="G34" s="11" t="s">
        <v>20</v>
      </c>
      <c r="H34" s="16" t="s">
        <v>98</v>
      </c>
    </row>
    <row r="35" customFormat="false" ht="27.75" hidden="false" customHeight="true" outlineLevel="0" collapsed="false">
      <c r="A35" s="12" t="s">
        <v>94</v>
      </c>
      <c r="B35" s="13" t="s">
        <v>95</v>
      </c>
      <c r="C35" s="14" t="s">
        <v>99</v>
      </c>
      <c r="D35" s="13" t="s">
        <v>23</v>
      </c>
      <c r="E35" s="15" t="s">
        <v>15</v>
      </c>
      <c r="F35" s="15" t="s">
        <v>100</v>
      </c>
      <c r="G35" s="11" t="s">
        <v>20</v>
      </c>
      <c r="H35" s="16" t="s">
        <v>101</v>
      </c>
    </row>
    <row r="36" customFormat="false" ht="27.75" hidden="false" customHeight="true" outlineLevel="0" collapsed="false">
      <c r="A36" s="5" t="s">
        <v>94</v>
      </c>
      <c r="B36" s="6" t="s">
        <v>95</v>
      </c>
      <c r="C36" s="7" t="s">
        <v>102</v>
      </c>
      <c r="D36" s="6" t="s">
        <v>26</v>
      </c>
      <c r="E36" s="8" t="s">
        <v>15</v>
      </c>
      <c r="F36" s="8" t="s">
        <v>103</v>
      </c>
      <c r="G36" s="11" t="s">
        <v>20</v>
      </c>
      <c r="H36" s="10" t="s">
        <v>104</v>
      </c>
    </row>
    <row r="37" customFormat="false" ht="27.75" hidden="false" customHeight="true" outlineLevel="0" collapsed="false">
      <c r="A37" s="12" t="s">
        <v>94</v>
      </c>
      <c r="B37" s="13" t="s">
        <v>95</v>
      </c>
      <c r="C37" s="14" t="s">
        <v>105</v>
      </c>
      <c r="D37" s="13" t="s">
        <v>23</v>
      </c>
      <c r="E37" s="15" t="s">
        <v>15</v>
      </c>
      <c r="F37" s="15" t="s">
        <v>106</v>
      </c>
      <c r="G37" s="11" t="s">
        <v>20</v>
      </c>
      <c r="H37" s="16" t="s">
        <v>107</v>
      </c>
    </row>
    <row r="38" customFormat="false" ht="27.75" hidden="false" customHeight="true" outlineLevel="0" collapsed="false">
      <c r="A38" s="5" t="s">
        <v>94</v>
      </c>
      <c r="B38" s="6" t="s">
        <v>95</v>
      </c>
      <c r="C38" s="7" t="s">
        <v>108</v>
      </c>
      <c r="D38" s="6" t="s">
        <v>109</v>
      </c>
      <c r="E38" s="8" t="s">
        <v>15</v>
      </c>
      <c r="F38" s="8" t="s">
        <v>100</v>
      </c>
      <c r="G38" s="11" t="s">
        <v>20</v>
      </c>
      <c r="H38" s="10" t="s">
        <v>110</v>
      </c>
    </row>
    <row r="39" customFormat="false" ht="27.75" hidden="false" customHeight="true" outlineLevel="0" collapsed="false">
      <c r="A39" s="12" t="s">
        <v>94</v>
      </c>
      <c r="B39" s="13" t="s">
        <v>95</v>
      </c>
      <c r="C39" s="14" t="s">
        <v>111</v>
      </c>
      <c r="D39" s="13" t="s">
        <v>14</v>
      </c>
      <c r="E39" s="15" t="s">
        <v>15</v>
      </c>
      <c r="F39" s="15" t="s">
        <v>47</v>
      </c>
      <c r="G39" s="11" t="s">
        <v>20</v>
      </c>
      <c r="H39" s="16" t="s">
        <v>112</v>
      </c>
    </row>
    <row r="40" customFormat="false" ht="27.75" hidden="false" customHeight="true" outlineLevel="0" collapsed="false">
      <c r="A40" s="5" t="s">
        <v>94</v>
      </c>
      <c r="B40" s="6" t="s">
        <v>95</v>
      </c>
      <c r="C40" s="7" t="s">
        <v>113</v>
      </c>
      <c r="D40" s="6" t="s">
        <v>109</v>
      </c>
      <c r="E40" s="8" t="s">
        <v>15</v>
      </c>
      <c r="F40" s="8" t="s">
        <v>100</v>
      </c>
      <c r="G40" s="11" t="s">
        <v>20</v>
      </c>
      <c r="H40" s="10" t="s">
        <v>114</v>
      </c>
    </row>
    <row r="41" customFormat="false" ht="27.75" hidden="false" customHeight="true" outlineLevel="0" collapsed="false">
      <c r="A41" s="18" t="s">
        <v>94</v>
      </c>
      <c r="B41" s="19" t="s">
        <v>95</v>
      </c>
      <c r="C41" s="20" t="s">
        <v>115</v>
      </c>
      <c r="D41" s="19" t="s">
        <v>64</v>
      </c>
      <c r="E41" s="21" t="s">
        <v>15</v>
      </c>
      <c r="F41" s="21" t="s">
        <v>116</v>
      </c>
      <c r="G41" s="11" t="s">
        <v>20</v>
      </c>
      <c r="H41" s="22" t="s">
        <v>117</v>
      </c>
    </row>
    <row r="43" customFormat="false" ht="27.75" hidden="false" customHeight="true" outlineLevel="0" collapsed="false">
      <c r="A43" s="25" t="s">
        <v>118</v>
      </c>
      <c r="B43" s="25"/>
      <c r="C43" s="25"/>
      <c r="D43" s="25"/>
      <c r="E43" s="25"/>
      <c r="F43" s="25"/>
      <c r="G43" s="25"/>
      <c r="H43" s="25"/>
    </row>
    <row r="44" customFormat="false" ht="21.75" hidden="false" customHeight="true" outlineLevel="0" collapsed="false">
      <c r="A44" s="26" t="s">
        <v>119</v>
      </c>
      <c r="B44" s="26" t="s">
        <v>120</v>
      </c>
      <c r="C44" s="26" t="s">
        <v>121</v>
      </c>
      <c r="D44" s="26" t="s">
        <v>122</v>
      </c>
      <c r="E44" s="26" t="s">
        <v>123</v>
      </c>
      <c r="F44" s="26" t="s">
        <v>124</v>
      </c>
      <c r="G44" s="26" t="s">
        <v>125</v>
      </c>
      <c r="H44" s="26" t="s">
        <v>126</v>
      </c>
    </row>
    <row r="45" customFormat="false" ht="21.75" hidden="false" customHeight="true" outlineLevel="0" collapsed="false">
      <c r="A45" s="27" t="s">
        <v>127</v>
      </c>
      <c r="B45" s="8" t="s">
        <v>128</v>
      </c>
      <c r="C45" s="8" t="s">
        <v>129</v>
      </c>
      <c r="D45" s="28" t="s">
        <v>130</v>
      </c>
      <c r="E45" s="29"/>
      <c r="F45" s="29"/>
      <c r="G45" s="29"/>
      <c r="H45" s="30"/>
    </row>
    <row r="46" customFormat="false" ht="21.75" hidden="false" customHeight="true" outlineLevel="0" collapsed="false">
      <c r="A46" s="31" t="s">
        <v>131</v>
      </c>
      <c r="B46" s="15" t="s">
        <v>132</v>
      </c>
      <c r="C46" s="15" t="s">
        <v>133</v>
      </c>
      <c r="D46" s="32" t="s">
        <v>134</v>
      </c>
      <c r="E46" s="29"/>
      <c r="F46" s="29"/>
      <c r="G46" s="29"/>
      <c r="H46" s="30"/>
    </row>
    <row r="47" customFormat="false" ht="21.75" hidden="false" customHeight="true" outlineLevel="0" collapsed="false">
      <c r="A47" s="27" t="s">
        <v>135</v>
      </c>
      <c r="B47" s="8" t="s">
        <v>136</v>
      </c>
      <c r="C47" s="8" t="s">
        <v>137</v>
      </c>
      <c r="D47" s="28" t="s">
        <v>134</v>
      </c>
      <c r="E47" s="29"/>
      <c r="F47" s="29"/>
      <c r="G47" s="29"/>
      <c r="H47" s="30"/>
    </row>
    <row r="48" customFormat="false" ht="21.75" hidden="false" customHeight="true" outlineLevel="0" collapsed="false">
      <c r="A48" s="31" t="s">
        <v>138</v>
      </c>
      <c r="B48" s="15" t="s">
        <v>139</v>
      </c>
      <c r="C48" s="15" t="s">
        <v>140</v>
      </c>
      <c r="D48" s="32" t="s">
        <v>141</v>
      </c>
      <c r="E48" s="29"/>
      <c r="F48" s="29"/>
      <c r="G48" s="29"/>
      <c r="H48" s="30"/>
    </row>
    <row r="49" customFormat="false" ht="21.75" hidden="false" customHeight="true" outlineLevel="0" collapsed="false">
      <c r="A49" s="27" t="s">
        <v>142</v>
      </c>
      <c r="B49" s="8" t="s">
        <v>143</v>
      </c>
      <c r="C49" s="8" t="s">
        <v>144</v>
      </c>
      <c r="D49" s="28" t="s">
        <v>145</v>
      </c>
      <c r="E49" s="29"/>
      <c r="F49" s="29"/>
      <c r="G49" s="29"/>
      <c r="H49" s="30"/>
    </row>
    <row r="50" customFormat="false" ht="21.75" hidden="false" customHeight="true" outlineLevel="0" collapsed="false">
      <c r="A50" s="31" t="s">
        <v>146</v>
      </c>
      <c r="B50" s="15" t="s">
        <v>147</v>
      </c>
      <c r="C50" s="15" t="s">
        <v>148</v>
      </c>
      <c r="D50" s="32" t="s">
        <v>149</v>
      </c>
      <c r="E50" s="29"/>
      <c r="F50" s="29"/>
      <c r="G50" s="29"/>
      <c r="H50" s="30"/>
    </row>
    <row r="51" customFormat="false" ht="21.75" hidden="false" customHeight="true" outlineLevel="0" collapsed="false">
      <c r="A51" s="27" t="s">
        <v>150</v>
      </c>
      <c r="B51" s="8" t="s">
        <v>151</v>
      </c>
      <c r="C51" s="8" t="s">
        <v>152</v>
      </c>
      <c r="D51" s="28" t="s">
        <v>153</v>
      </c>
      <c r="E51" s="29"/>
      <c r="F51" s="29"/>
      <c r="G51" s="29"/>
      <c r="H51" s="30"/>
    </row>
    <row r="52" customFormat="false" ht="21.75" hidden="false" customHeight="true" outlineLevel="0" collapsed="false">
      <c r="A52" s="31" t="s">
        <v>154</v>
      </c>
      <c r="B52" s="15" t="s">
        <v>155</v>
      </c>
      <c r="C52" s="15" t="s">
        <v>156</v>
      </c>
      <c r="D52" s="32" t="s">
        <v>157</v>
      </c>
      <c r="E52" s="29"/>
      <c r="F52" s="29"/>
      <c r="G52" s="29"/>
      <c r="H52" s="30"/>
    </row>
  </sheetData>
  <mergeCells count="7">
    <mergeCell ref="A1:H1"/>
    <mergeCell ref="A2:H2"/>
    <mergeCell ref="A4:H4"/>
    <mergeCell ref="A15:H15"/>
    <mergeCell ref="A24:H24"/>
    <mergeCell ref="A33:H33"/>
    <mergeCell ref="A43:H43"/>
  </mergeCells>
  <dataValidations count="1">
    <dataValidation allowBlank="true" errorStyle="stop" operator="between" showDropDown="false" showErrorMessage="false" showInputMessage="false" sqref="G5:G14 G16:G23 G25:G32 G34:G41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28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160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H3" s="3" t="s">
        <v>167</v>
      </c>
      <c r="I3" s="3" t="s">
        <v>7</v>
      </c>
      <c r="J3" s="3" t="s">
        <v>9</v>
      </c>
    </row>
    <row r="4" customFormat="false" ht="24" hidden="false" customHeight="true" outlineLevel="0" collapsed="false">
      <c r="A4" s="33" t="s">
        <v>168</v>
      </c>
      <c r="B4" s="33" t="s">
        <v>169</v>
      </c>
      <c r="C4" s="33" t="s">
        <v>170</v>
      </c>
      <c r="D4" s="33" t="s">
        <v>171</v>
      </c>
      <c r="E4" s="33" t="s">
        <v>172</v>
      </c>
      <c r="F4" s="11" t="s">
        <v>173</v>
      </c>
      <c r="G4" s="33" t="s">
        <v>174</v>
      </c>
      <c r="H4" s="33" t="s">
        <v>175</v>
      </c>
      <c r="I4" s="33" t="s">
        <v>16</v>
      </c>
      <c r="J4" s="33" t="s">
        <v>176</v>
      </c>
    </row>
    <row r="5" customFormat="false" ht="24" hidden="false" customHeight="true" outlineLevel="0" collapsed="false">
      <c r="A5" s="34" t="s">
        <v>177</v>
      </c>
      <c r="B5" s="34" t="s">
        <v>178</v>
      </c>
      <c r="C5" s="34" t="s">
        <v>179</v>
      </c>
      <c r="D5" s="34" t="s">
        <v>180</v>
      </c>
      <c r="E5" s="34" t="s">
        <v>181</v>
      </c>
      <c r="F5" s="11" t="s">
        <v>173</v>
      </c>
      <c r="G5" s="34" t="s">
        <v>174</v>
      </c>
      <c r="H5" s="34" t="s">
        <v>175</v>
      </c>
      <c r="I5" s="34" t="s">
        <v>16</v>
      </c>
      <c r="J5" s="34" t="s">
        <v>182</v>
      </c>
    </row>
    <row r="6" customFormat="false" ht="24" hidden="false" customHeight="true" outlineLevel="0" collapsed="false">
      <c r="A6" s="33" t="s">
        <v>183</v>
      </c>
      <c r="B6" s="33" t="s">
        <v>184</v>
      </c>
      <c r="C6" s="33" t="s">
        <v>185</v>
      </c>
      <c r="D6" s="33" t="s">
        <v>186</v>
      </c>
      <c r="E6" s="33" t="s">
        <v>187</v>
      </c>
      <c r="F6" s="11" t="s">
        <v>173</v>
      </c>
      <c r="G6" s="33" t="s">
        <v>174</v>
      </c>
      <c r="H6" s="33" t="s">
        <v>175</v>
      </c>
      <c r="I6" s="33" t="s">
        <v>188</v>
      </c>
      <c r="J6" s="33" t="s">
        <v>189</v>
      </c>
    </row>
    <row r="7" customFormat="false" ht="24" hidden="false" customHeight="true" outlineLevel="0" collapsed="false">
      <c r="A7" s="34" t="s">
        <v>190</v>
      </c>
      <c r="B7" s="34" t="s">
        <v>169</v>
      </c>
      <c r="C7" s="34" t="s">
        <v>191</v>
      </c>
      <c r="D7" s="34" t="s">
        <v>192</v>
      </c>
      <c r="E7" s="34" t="s">
        <v>193</v>
      </c>
      <c r="F7" s="11" t="s">
        <v>173</v>
      </c>
      <c r="G7" s="34" t="s">
        <v>174</v>
      </c>
      <c r="H7" s="34" t="s">
        <v>175</v>
      </c>
      <c r="I7" s="34" t="s">
        <v>188</v>
      </c>
      <c r="J7" s="34" t="s">
        <v>194</v>
      </c>
    </row>
    <row r="8" customFormat="false" ht="24" hidden="false" customHeight="true" outlineLevel="0" collapsed="false">
      <c r="A8" s="33" t="s">
        <v>195</v>
      </c>
      <c r="B8" s="33" t="s">
        <v>196</v>
      </c>
      <c r="C8" s="33" t="s">
        <v>197</v>
      </c>
      <c r="D8" s="33" t="s">
        <v>198</v>
      </c>
      <c r="E8" s="33" t="s">
        <v>199</v>
      </c>
      <c r="F8" s="11" t="s">
        <v>173</v>
      </c>
      <c r="G8" s="33" t="s">
        <v>174</v>
      </c>
      <c r="H8" s="33" t="s">
        <v>175</v>
      </c>
      <c r="I8" s="33" t="s">
        <v>29</v>
      </c>
      <c r="J8" s="33" t="s">
        <v>200</v>
      </c>
    </row>
    <row r="9" customFormat="false" ht="24" hidden="false" customHeight="true" outlineLevel="0" collapsed="false">
      <c r="A9" s="35"/>
      <c r="B9" s="35"/>
      <c r="C9" s="35"/>
      <c r="D9" s="35"/>
      <c r="E9" s="35"/>
      <c r="F9" s="34"/>
      <c r="G9" s="34"/>
      <c r="H9" s="34"/>
      <c r="I9" s="34"/>
      <c r="J9" s="34"/>
    </row>
    <row r="10" customFormat="false" ht="24" hidden="false" customHeight="true" outlineLevel="0" collapsed="false">
      <c r="A10" s="36"/>
      <c r="B10" s="36"/>
      <c r="C10" s="36"/>
      <c r="D10" s="36"/>
      <c r="E10" s="36"/>
      <c r="F10" s="33"/>
      <c r="G10" s="33"/>
      <c r="H10" s="33"/>
      <c r="I10" s="33"/>
      <c r="J10" s="33"/>
    </row>
    <row r="11" customFormat="false" ht="24" hidden="false" customHeight="true" outlineLevel="0" collapsed="false">
      <c r="A11" s="35"/>
      <c r="B11" s="35"/>
      <c r="C11" s="35"/>
      <c r="D11" s="35"/>
      <c r="E11" s="35"/>
      <c r="F11" s="34"/>
      <c r="G11" s="34"/>
      <c r="H11" s="34"/>
      <c r="I11" s="34"/>
      <c r="J11" s="34"/>
    </row>
    <row r="12" customFormat="false" ht="24" hidden="false" customHeight="true" outlineLevel="0" collapsed="false">
      <c r="A12" s="36"/>
      <c r="B12" s="36"/>
      <c r="C12" s="36"/>
      <c r="D12" s="36"/>
      <c r="E12" s="36"/>
      <c r="F12" s="33"/>
      <c r="G12" s="33"/>
      <c r="H12" s="33"/>
      <c r="I12" s="33"/>
      <c r="J12" s="33"/>
    </row>
    <row r="13" customFormat="false" ht="24" hidden="false" customHeight="true" outlineLevel="0" collapsed="false">
      <c r="A13" s="35"/>
      <c r="B13" s="35"/>
      <c r="C13" s="35"/>
      <c r="D13" s="35"/>
      <c r="E13" s="35"/>
      <c r="F13" s="34"/>
      <c r="G13" s="34"/>
      <c r="H13" s="34"/>
      <c r="I13" s="34"/>
      <c r="J13" s="34"/>
    </row>
    <row r="16" customFormat="false" ht="24" hidden="false" customHeight="true" outlineLevel="0" collapsed="false">
      <c r="A16" s="17" t="s">
        <v>201</v>
      </c>
      <c r="B16" s="17"/>
      <c r="C16" s="17"/>
      <c r="D16" s="17"/>
    </row>
    <row r="17" customFormat="false" ht="21.75" hidden="false" customHeight="true" outlineLevel="0" collapsed="false">
      <c r="A17" s="27" t="s">
        <v>202</v>
      </c>
      <c r="B17" s="29" t="n">
        <f aca="false">COUNTA(A4:A13)-COUNTBLANK(A4:A13)</f>
        <v>0</v>
      </c>
      <c r="C17" s="27" t="s">
        <v>203</v>
      </c>
      <c r="D17" s="29"/>
    </row>
    <row r="18" customFormat="false" ht="21.75" hidden="false" customHeight="true" outlineLevel="0" collapsed="false">
      <c r="A18" s="27" t="s">
        <v>204</v>
      </c>
      <c r="B18" s="29"/>
      <c r="C18" s="27" t="s">
        <v>205</v>
      </c>
      <c r="D18" s="29"/>
    </row>
    <row r="19" customFormat="false" ht="21.75" hidden="false" customHeight="true" outlineLevel="0" collapsed="false">
      <c r="A19" s="27" t="s">
        <v>135</v>
      </c>
      <c r="B19" s="29"/>
      <c r="C19" s="27" t="s">
        <v>206</v>
      </c>
      <c r="D19" s="29"/>
    </row>
  </sheetData>
  <mergeCells count="3">
    <mergeCell ref="A1:J1"/>
    <mergeCell ref="A2:J2"/>
    <mergeCell ref="A16:D16"/>
  </mergeCells>
  <dataValidations count="1">
    <dataValidation allowBlank="true" errorStyle="stop" operator="between" showDropDown="false" showErrorMessage="false" showInputMessage="false" sqref="F4:F8" type="list">
      <formula1>"New,Connected,Messaged,Discovery Call,Trial,Proposal Sent,Customer,Not Interested"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36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208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209</v>
      </c>
      <c r="B3" s="3" t="s">
        <v>210</v>
      </c>
      <c r="C3" s="3" t="s">
        <v>211</v>
      </c>
      <c r="D3" s="3" t="s">
        <v>212</v>
      </c>
      <c r="E3" s="3" t="s">
        <v>213</v>
      </c>
      <c r="F3" s="3" t="s">
        <v>214</v>
      </c>
      <c r="G3" s="3" t="s">
        <v>8</v>
      </c>
      <c r="H3" s="3" t="s">
        <v>215</v>
      </c>
    </row>
    <row r="4" customFormat="false" ht="25.5" hidden="false" customHeight="true" outlineLevel="0" collapsed="false">
      <c r="A4" s="8" t="s">
        <v>50</v>
      </c>
      <c r="B4" s="11" t="s">
        <v>216</v>
      </c>
      <c r="C4" s="37" t="s">
        <v>217</v>
      </c>
      <c r="D4" s="38" t="s">
        <v>218</v>
      </c>
      <c r="E4" s="6" t="s">
        <v>219</v>
      </c>
      <c r="F4" s="39" t="s">
        <v>220</v>
      </c>
      <c r="G4" s="11" t="s">
        <v>221</v>
      </c>
      <c r="H4" s="29"/>
    </row>
    <row r="5" customFormat="false" ht="25.5" hidden="false" customHeight="true" outlineLevel="0" collapsed="false">
      <c r="A5" s="15" t="s">
        <v>222</v>
      </c>
      <c r="B5" s="40" t="s">
        <v>216</v>
      </c>
      <c r="C5" s="41" t="s">
        <v>223</v>
      </c>
      <c r="D5" s="42" t="s">
        <v>224</v>
      </c>
      <c r="E5" s="13" t="s">
        <v>225</v>
      </c>
      <c r="F5" s="43" t="s">
        <v>226</v>
      </c>
      <c r="G5" s="11" t="s">
        <v>221</v>
      </c>
      <c r="H5" s="29"/>
    </row>
    <row r="6" customFormat="false" ht="25.5" hidden="false" customHeight="true" outlineLevel="0" collapsed="false">
      <c r="A6" s="8" t="s">
        <v>227</v>
      </c>
      <c r="B6" s="11" t="s">
        <v>216</v>
      </c>
      <c r="C6" s="9" t="s">
        <v>228</v>
      </c>
      <c r="D6" s="38" t="s">
        <v>229</v>
      </c>
      <c r="E6" s="6" t="s">
        <v>230</v>
      </c>
      <c r="F6" s="39" t="s">
        <v>231</v>
      </c>
      <c r="G6" s="11" t="s">
        <v>221</v>
      </c>
      <c r="H6" s="29"/>
    </row>
    <row r="7" customFormat="false" ht="25.5" hidden="false" customHeight="true" outlineLevel="0" collapsed="false">
      <c r="A7" s="15" t="s">
        <v>53</v>
      </c>
      <c r="B7" s="40" t="s">
        <v>216</v>
      </c>
      <c r="C7" s="37" t="s">
        <v>217</v>
      </c>
      <c r="D7" s="42" t="s">
        <v>232</v>
      </c>
      <c r="E7" s="13" t="s">
        <v>219</v>
      </c>
      <c r="F7" s="43" t="s">
        <v>233</v>
      </c>
      <c r="G7" s="11" t="s">
        <v>221</v>
      </c>
      <c r="H7" s="29"/>
    </row>
    <row r="8" customFormat="false" ht="25.5" hidden="false" customHeight="true" outlineLevel="0" collapsed="false">
      <c r="A8" s="8" t="s">
        <v>234</v>
      </c>
      <c r="B8" s="11" t="s">
        <v>216</v>
      </c>
      <c r="C8" s="44" t="s">
        <v>235</v>
      </c>
      <c r="D8" s="38" t="s">
        <v>236</v>
      </c>
      <c r="E8" s="6" t="s">
        <v>237</v>
      </c>
      <c r="F8" s="39" t="s">
        <v>238</v>
      </c>
      <c r="G8" s="11" t="s">
        <v>239</v>
      </c>
      <c r="H8" s="29"/>
    </row>
    <row r="9" customFormat="false" ht="25.5" hidden="false" customHeight="true" outlineLevel="0" collapsed="false">
      <c r="A9" s="15" t="s">
        <v>240</v>
      </c>
      <c r="B9" s="40" t="s">
        <v>216</v>
      </c>
      <c r="C9" s="45" t="s">
        <v>241</v>
      </c>
      <c r="D9" s="42" t="s">
        <v>242</v>
      </c>
      <c r="E9" s="13" t="s">
        <v>225</v>
      </c>
      <c r="F9" s="43" t="s">
        <v>243</v>
      </c>
      <c r="G9" s="11" t="s">
        <v>221</v>
      </c>
      <c r="H9" s="29"/>
    </row>
    <row r="10" customFormat="false" ht="25.5" hidden="false" customHeight="true" outlineLevel="0" collapsed="false">
      <c r="A10" s="8" t="s">
        <v>244</v>
      </c>
      <c r="B10" s="11" t="s">
        <v>216</v>
      </c>
      <c r="C10" s="37" t="s">
        <v>217</v>
      </c>
      <c r="D10" s="38" t="s">
        <v>245</v>
      </c>
      <c r="E10" s="6" t="s">
        <v>246</v>
      </c>
      <c r="F10" s="39" t="s">
        <v>247</v>
      </c>
      <c r="G10" s="11" t="s">
        <v>239</v>
      </c>
      <c r="H10" s="29"/>
    </row>
    <row r="11" customFormat="false" ht="25.5" hidden="false" customHeight="true" outlineLevel="0" collapsed="false">
      <c r="A11" s="15" t="s">
        <v>248</v>
      </c>
      <c r="B11" s="40" t="s">
        <v>216</v>
      </c>
      <c r="C11" s="41" t="s">
        <v>223</v>
      </c>
      <c r="D11" s="42" t="s">
        <v>249</v>
      </c>
      <c r="E11" s="13" t="s">
        <v>225</v>
      </c>
      <c r="F11" s="43" t="s">
        <v>250</v>
      </c>
      <c r="G11" s="11" t="s">
        <v>239</v>
      </c>
      <c r="H11" s="29"/>
    </row>
    <row r="12" customFormat="false" ht="25.5" hidden="false" customHeight="true" outlineLevel="0" collapsed="false">
      <c r="A12" s="8" t="s">
        <v>251</v>
      </c>
      <c r="B12" s="11" t="s">
        <v>216</v>
      </c>
      <c r="C12" s="9" t="s">
        <v>228</v>
      </c>
      <c r="D12" s="38" t="s">
        <v>252</v>
      </c>
      <c r="E12" s="6" t="s">
        <v>230</v>
      </c>
      <c r="F12" s="39" t="s">
        <v>253</v>
      </c>
      <c r="G12" s="11" t="s">
        <v>239</v>
      </c>
      <c r="H12" s="29"/>
    </row>
    <row r="13" customFormat="false" ht="25.5" hidden="false" customHeight="true" outlineLevel="0" collapsed="false">
      <c r="A13" s="15" t="s">
        <v>254</v>
      </c>
      <c r="B13" s="40" t="s">
        <v>255</v>
      </c>
      <c r="C13" s="44" t="s">
        <v>235</v>
      </c>
      <c r="D13" s="42" t="s">
        <v>256</v>
      </c>
      <c r="E13" s="13" t="s">
        <v>255</v>
      </c>
      <c r="F13" s="43" t="s">
        <v>257</v>
      </c>
      <c r="G13" s="11" t="s">
        <v>239</v>
      </c>
      <c r="H13" s="29"/>
    </row>
    <row r="14" customFormat="false" ht="25.5" hidden="false" customHeight="true" outlineLevel="0" collapsed="false">
      <c r="A14" s="8" t="s">
        <v>258</v>
      </c>
      <c r="B14" s="11" t="s">
        <v>216</v>
      </c>
      <c r="C14" s="37" t="s">
        <v>217</v>
      </c>
      <c r="D14" s="38" t="s">
        <v>259</v>
      </c>
      <c r="E14" s="6" t="s">
        <v>219</v>
      </c>
      <c r="F14" s="39" t="s">
        <v>260</v>
      </c>
      <c r="G14" s="11" t="s">
        <v>239</v>
      </c>
      <c r="H14" s="29"/>
    </row>
    <row r="15" customFormat="false" ht="25.5" hidden="false" customHeight="true" outlineLevel="0" collapsed="false">
      <c r="A15" s="15" t="s">
        <v>261</v>
      </c>
      <c r="B15" s="40" t="s">
        <v>216</v>
      </c>
      <c r="C15" s="45" t="s">
        <v>241</v>
      </c>
      <c r="D15" s="42" t="s">
        <v>262</v>
      </c>
      <c r="E15" s="13" t="s">
        <v>225</v>
      </c>
      <c r="F15" s="43" t="s">
        <v>263</v>
      </c>
      <c r="G15" s="11" t="s">
        <v>239</v>
      </c>
      <c r="H15" s="29"/>
    </row>
    <row r="16" customFormat="false" ht="25.5" hidden="false" customHeight="true" outlineLevel="0" collapsed="false">
      <c r="A16" s="8" t="s">
        <v>264</v>
      </c>
      <c r="B16" s="11" t="s">
        <v>255</v>
      </c>
      <c r="C16" s="41" t="s">
        <v>223</v>
      </c>
      <c r="D16" s="38" t="s">
        <v>265</v>
      </c>
      <c r="E16" s="6" t="s">
        <v>255</v>
      </c>
      <c r="F16" s="39" t="s">
        <v>266</v>
      </c>
      <c r="G16" s="11" t="s">
        <v>239</v>
      </c>
      <c r="H16" s="29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4:G16" type="list">
      <formula1>"Draft,Scheduled,Published,Cancelled"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269</v>
      </c>
      <c r="B3" s="3" t="s">
        <v>270</v>
      </c>
      <c r="C3" s="3" t="s">
        <v>271</v>
      </c>
      <c r="D3" s="3" t="s">
        <v>272</v>
      </c>
      <c r="E3" s="3" t="s">
        <v>273</v>
      </c>
      <c r="F3" s="3" t="s">
        <v>274</v>
      </c>
      <c r="G3" s="3" t="s">
        <v>275</v>
      </c>
    </row>
    <row r="4" customFormat="false" ht="24" hidden="false" customHeight="true" outlineLevel="0" collapsed="false">
      <c r="A4" s="27" t="s">
        <v>276</v>
      </c>
      <c r="B4" s="29"/>
      <c r="C4" s="29"/>
      <c r="D4" s="29"/>
      <c r="E4" s="28" t="n">
        <f aca="false">B4+C4+D4</f>
        <v>0</v>
      </c>
      <c r="F4" s="46" t="n">
        <f aca="false">B4*179+C4*799+D4*2999</f>
        <v>0</v>
      </c>
      <c r="G4" s="8" t="s">
        <v>155</v>
      </c>
    </row>
    <row r="5" customFormat="false" ht="24" hidden="false" customHeight="true" outlineLevel="0" collapsed="false">
      <c r="A5" s="31" t="s">
        <v>277</v>
      </c>
      <c r="B5" s="29"/>
      <c r="C5" s="29"/>
      <c r="D5" s="29"/>
      <c r="E5" s="32" t="n">
        <f aca="false">B5+C5+D5</f>
        <v>0</v>
      </c>
      <c r="F5" s="46" t="n">
        <f aca="false">B5*179+C5*799+D5*2999</f>
        <v>0</v>
      </c>
      <c r="G5" s="47" t="str">
        <f aca="false">IF(F4=0,"n/a",(F5-F4)/F4)</f>
        <v>n/a</v>
      </c>
    </row>
    <row r="6" customFormat="false" ht="24" hidden="false" customHeight="true" outlineLevel="0" collapsed="false">
      <c r="A6" s="27" t="s">
        <v>278</v>
      </c>
      <c r="B6" s="29"/>
      <c r="C6" s="29"/>
      <c r="D6" s="29"/>
      <c r="E6" s="28" t="n">
        <f aca="false">B6+C6+D6</f>
        <v>0</v>
      </c>
      <c r="F6" s="46" t="n">
        <f aca="false">B6*179+C6*799+D6*2999</f>
        <v>0</v>
      </c>
      <c r="G6" s="48" t="str">
        <f aca="false">IF(F5=0,"n/a",(F6-F5)/F5)</f>
        <v>n/a</v>
      </c>
    </row>
    <row r="7" customFormat="false" ht="24" hidden="false" customHeight="true" outlineLevel="0" collapsed="false">
      <c r="A7" s="31" t="s">
        <v>279</v>
      </c>
      <c r="B7" s="29"/>
      <c r="C7" s="29"/>
      <c r="D7" s="29"/>
      <c r="E7" s="32" t="n">
        <f aca="false">B7+C7+D7</f>
        <v>0</v>
      </c>
      <c r="F7" s="46" t="n">
        <f aca="false">B7*179+C7*799+D7*2999</f>
        <v>0</v>
      </c>
      <c r="G7" s="47" t="str">
        <f aca="false">IF(F6=0,"n/a",(F7-F6)/F6)</f>
        <v>n/a</v>
      </c>
    </row>
    <row r="8" customFormat="false" ht="24" hidden="false" customHeight="true" outlineLevel="0" collapsed="false">
      <c r="A8" s="27" t="s">
        <v>280</v>
      </c>
      <c r="B8" s="29"/>
      <c r="C8" s="29"/>
      <c r="D8" s="29"/>
      <c r="E8" s="28" t="n">
        <f aca="false">B8+C8+D8</f>
        <v>0</v>
      </c>
      <c r="F8" s="46" t="n">
        <f aca="false">B8*179+C8*799+D8*2999</f>
        <v>0</v>
      </c>
      <c r="G8" s="48" t="str">
        <f aca="false">IF(F7=0,"n/a",(F8-F7)/F7)</f>
        <v>n/a</v>
      </c>
    </row>
    <row r="9" customFormat="false" ht="24" hidden="false" customHeight="true" outlineLevel="0" collapsed="false">
      <c r="A9" s="31" t="s">
        <v>281</v>
      </c>
      <c r="B9" s="29"/>
      <c r="C9" s="29"/>
      <c r="D9" s="29"/>
      <c r="E9" s="32" t="n">
        <f aca="false">B9+C9+D9</f>
        <v>0</v>
      </c>
      <c r="F9" s="46" t="n">
        <f aca="false">B9*179+C9*799+D9*2999</f>
        <v>0</v>
      </c>
      <c r="G9" s="47" t="str">
        <f aca="false">IF(F8=0,"n/a",(F9-F8)/F8)</f>
        <v>n/a</v>
      </c>
    </row>
    <row r="10" customFormat="false" ht="24" hidden="false" customHeight="true" outlineLevel="0" collapsed="false">
      <c r="A10" s="27" t="s">
        <v>282</v>
      </c>
      <c r="B10" s="29"/>
      <c r="C10" s="29"/>
      <c r="D10" s="29"/>
      <c r="E10" s="28" t="n">
        <f aca="false">B10+C10+D10</f>
        <v>0</v>
      </c>
      <c r="F10" s="46" t="n">
        <f aca="false">B10*179+C10*799+D10*2999</f>
        <v>0</v>
      </c>
      <c r="G10" s="48" t="str">
        <f aca="false">IF(F9=0,"n/a",(F10-F9)/F9)</f>
        <v>n/a</v>
      </c>
    </row>
    <row r="11" customFormat="false" ht="24" hidden="false" customHeight="true" outlineLevel="0" collapsed="false">
      <c r="A11" s="31" t="s">
        <v>283</v>
      </c>
      <c r="B11" s="29"/>
      <c r="C11" s="29"/>
      <c r="D11" s="29"/>
      <c r="E11" s="32" t="n">
        <f aca="false">B11+C11+D11</f>
        <v>0</v>
      </c>
      <c r="F11" s="46" t="n">
        <f aca="false">B11*179+C11*799+D11*2999</f>
        <v>0</v>
      </c>
      <c r="G11" s="47" t="str">
        <f aca="false">IF(F10=0,"n/a",(F11-F10)/F10)</f>
        <v>n/a</v>
      </c>
    </row>
    <row r="12" customFormat="false" ht="24" hidden="false" customHeight="true" outlineLevel="0" collapsed="false">
      <c r="A12" s="27" t="s">
        <v>284</v>
      </c>
      <c r="B12" s="29"/>
      <c r="C12" s="29"/>
      <c r="D12" s="29"/>
      <c r="E12" s="28" t="n">
        <f aca="false">B12+C12+D12</f>
        <v>0</v>
      </c>
      <c r="F12" s="46" t="n">
        <f aca="false">B12*179+C12*799+D12*2999</f>
        <v>0</v>
      </c>
      <c r="G12" s="48" t="str">
        <f aca="false">IF(F11=0,"n/a",(F12-F11)/F11)</f>
        <v>n/a</v>
      </c>
    </row>
    <row r="13" customFormat="false" ht="24" hidden="false" customHeight="true" outlineLevel="0" collapsed="false">
      <c r="A13" s="31" t="s">
        <v>285</v>
      </c>
      <c r="B13" s="29"/>
      <c r="C13" s="29"/>
      <c r="D13" s="29"/>
      <c r="E13" s="32" t="n">
        <f aca="false">B13+C13+D13</f>
        <v>0</v>
      </c>
      <c r="F13" s="46" t="n">
        <f aca="false">B13*179+C13*799+D13*2999</f>
        <v>0</v>
      </c>
      <c r="G13" s="47" t="str">
        <f aca="false">IF(F12=0,"n/a",(F13-F12)/F12)</f>
        <v>n/a</v>
      </c>
    </row>
    <row r="16" customFormat="false" ht="24" hidden="false" customHeight="true" outlineLevel="0" collapsed="false">
      <c r="A16" s="49" t="s">
        <v>286</v>
      </c>
      <c r="B16" s="49"/>
      <c r="C16" s="49"/>
      <c r="D16" s="49"/>
      <c r="E16" s="49"/>
      <c r="F16" s="49"/>
      <c r="G16" s="49"/>
    </row>
    <row r="17" customFormat="false" ht="21.75" hidden="false" customHeight="true" outlineLevel="0" collapsed="false">
      <c r="A17" s="50" t="s">
        <v>287</v>
      </c>
      <c r="B17" s="9" t="s">
        <v>139</v>
      </c>
      <c r="C17" s="51" t="s">
        <v>288</v>
      </c>
      <c r="D17" s="51"/>
      <c r="E17" s="51"/>
      <c r="F17" s="51"/>
      <c r="G17" s="51"/>
    </row>
    <row r="18" customFormat="false" ht="21.75" hidden="false" customHeight="true" outlineLevel="0" collapsed="false">
      <c r="A18" s="50" t="s">
        <v>289</v>
      </c>
      <c r="B18" s="9" t="s">
        <v>140</v>
      </c>
      <c r="C18" s="51" t="s">
        <v>290</v>
      </c>
      <c r="D18" s="51"/>
      <c r="E18" s="51"/>
      <c r="F18" s="51"/>
      <c r="G18" s="51"/>
    </row>
    <row r="19" customFormat="false" ht="21.75" hidden="false" customHeight="true" outlineLevel="0" collapsed="false">
      <c r="A19" s="50" t="s">
        <v>291</v>
      </c>
      <c r="B19" s="9" t="s">
        <v>141</v>
      </c>
      <c r="C19" s="51" t="s">
        <v>292</v>
      </c>
      <c r="D19" s="51"/>
      <c r="E19" s="51"/>
      <c r="F19" s="51"/>
      <c r="G19" s="51"/>
    </row>
  </sheetData>
  <mergeCells count="6">
    <mergeCell ref="A1:G1"/>
    <mergeCell ref="A2:G2"/>
    <mergeCell ref="A16:G16"/>
    <mergeCell ref="C17:G17"/>
    <mergeCell ref="C18:G18"/>
    <mergeCell ref="C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2026-02-27T05:22:55Z</dcterms:created>
  <dc:creator>openpyxl</dc:creator>
  <dc:description/>
  <dc:language>en-US</dc:language>
  <cp:lastModifiedBy/>
  <dcterms:modified xsi:type="dcterms:W3CDTF">2026-02-27T05:22:56Z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